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Kárdex" state="visible" r:id="rId5"/>
  </sheets>
  <calcPr calcId="171027"/>
</workbook>
</file>

<file path=xl/sharedStrings.xml><?xml version="1.0" encoding="utf-8"?>
<sst xmlns="http://schemas.openxmlformats.org/spreadsheetml/2006/main" count="57" uniqueCount="45">
  <si>
    <t>KÁRDEX FARMACÉUTICO — Plantilla TRIKLES</t>
  </si>
  <si>
    <t>Esta plantilla cumple con los requisitos de la FEUM, Suplemento para Establecimientos 7.0 (Cap. IV: Control de existencias).</t>
  </si>
  <si>
    <t/>
  </si>
  <si>
    <t>INSTRUCCIONES DE USO:</t>
  </si>
  <si>
    <t>1. Cree una hoja por cada medicamento o insumo para la salud que maneje.</t>
  </si>
  <si>
    <t>2. Llene el encabezado con los datos del producto (denominación genérica, distintiva, registro sanitario, presentación, fabricante).</t>
  </si>
  <si>
    <t>3. Registre TODOS los movimientos de entrada y salida en orden cronológico.</t>
  </si>
  <si>
    <t>4. El saldo se calcula automáticamente con la fórmula =saldo_anterior + entrada - salida.</t>
  </si>
  <si>
    <t>5. La columna "Días a caducidad" alerta en color cuando falten menos de 180 días (ámbar) o 90 días (rojo).</t>
  </si>
  <si>
    <t>6. Siga el principio FEFO (First Expired, First Out) al surtir.</t>
  </si>
  <si>
    <t>CAMPOS OBLIGATORIOS (FEUM Cap. IV, numeral 6):</t>
  </si>
  <si>
    <t>- Fecha del movimiento</t>
  </si>
  <si>
    <t>- Tipo de movimiento (Entrada / Salida / Ajuste / Baja)</t>
  </si>
  <si>
    <t>- Número de lote</t>
  </si>
  <si>
    <t>- Fecha de caducidad</t>
  </si>
  <si>
    <t>- Cantidad entrada / salida</t>
  </si>
  <si>
    <t>- Saldo</t>
  </si>
  <si>
    <t>- Responsable (nombre y firma)</t>
  </si>
  <si>
    <t>- Documento de referencia (factura, remisión, receta)</t>
  </si>
  <si>
    <t>IMPORTANTE: Para medicamentos controlados (fracciones I y II del Art. 226 LGS) debe llevarse además el Libro de Control oficial autorizado por COFEPRIS.</t>
  </si>
  <si>
    <t>Plantilla desarrollada por TRIKLES | Curso: Administración de Inventarios Farmacéuticos con base en FEUM</t>
  </si>
  <si>
    <t>Instructor: LADE Germán Solís Muñoz</t>
  </si>
  <si>
    <t>KÁRDEX FARMACÉUTICO</t>
  </si>
  <si>
    <t>Denominación genérica:</t>
  </si>
  <si>
    <t>Denominación distintiva:</t>
  </si>
  <si>
    <t>Registro Sanitario:</t>
  </si>
  <si>
    <t>Presentación:</t>
  </si>
  <si>
    <t>Fabricante / Titular:</t>
  </si>
  <si>
    <t>Fracción (Art. 226 LGS):</t>
  </si>
  <si>
    <t>Ubicación en almacén:</t>
  </si>
  <si>
    <t>Responsable Sanitario:</t>
  </si>
  <si>
    <t>#</t>
  </si>
  <si>
    <t>Fecha</t>
  </si>
  <si>
    <t>Tipo movto.</t>
  </si>
  <si>
    <t>No. Lote</t>
  </si>
  <si>
    <t>Caducidad</t>
  </si>
  <si>
    <t>Días cad.</t>
  </si>
  <si>
    <t>Entrada</t>
  </si>
  <si>
    <t>Salida</t>
  </si>
  <si>
    <t>Saldo</t>
  </si>
  <si>
    <t>Documento ref.</t>
  </si>
  <si>
    <t>Responsable</t>
  </si>
  <si>
    <t>L-001-EJ</t>
  </si>
  <si>
    <t>Factura 001</t>
  </si>
  <si>
    <t>Ejemplo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</si>
</sst>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 x14ac:knownFonts="1">
    <font>
      <color theme="1"/>
      <family val="2"/>
      <scheme val="minor"/>
      <sz val="11"/>
      <name val="Calibri"/>
    </font>
    <font>
      <b/>
      <color rgb="FF1F3A8A"/>
      <sz val="16"/>
    </font>
    <font>
      <b/>
    </font>
    <font>
      <b/>
      <color rgb="FFFFFFFF"/>
      <sz val="16"/>
    </font>
    <font>
      <b/>
      <color rgb="FFFFFFFF"/>
    </font>
    <font>
      <i/>
      <color rgb="FF64748B"/>
    </font>
  </fonts>
  <fills count="4">
    <fill>
      <patternFill patternType="none"/>
    </fill>
    <fill>
      <patternFill patternType="gray125"/>
    </fill>
    <fill>
      <patternFill patternType="solid">
        <fgColor rgb="FF1F3A8A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3" borderId="0" xfId="0" applyFill="1"/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164" fontId="5" fillId="0" borderId="0" xfId="0" applyNumberFormat="1" applyFont="1"/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color rgb="FF7F1D1D"/>
      </font>
      <fill>
        <patternFill patternType="solid">
          <bgColor rgb="FFFCA5A5"/>
        </patternFill>
      </fill>
    </dxf>
    <dxf>
      <fill>
        <patternFill patternType="solid">
          <bgColor rgb="FFFDE68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3" spans="1:1" s="2" customFormat="1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s="2" customFormat="1" x14ac:dyDescent="0.25">
      <c r="A12" s="2" t="s">
        <v>2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2</v>
      </c>
    </row>
    <row r="23" spans="1:1" x14ac:dyDescent="0.25">
      <c r="A23" t="s">
        <v>19</v>
      </c>
    </row>
    <row r="24" spans="1:1" x14ac:dyDescent="0.25">
      <c r="A24" t="s">
        <v>2</v>
      </c>
    </row>
    <row r="25" spans="1:1" x14ac:dyDescent="0.25">
      <c r="A25" t="s">
        <v>20</v>
      </c>
    </row>
    <row r="26" spans="1:1" x14ac:dyDescent="0.25">
      <c r="A2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4" width="15" customWidth="1"/>
    <col min="5" max="5" width="14" customWidth="1"/>
    <col min="6" max="8" width="10" customWidth="1"/>
    <col min="9" max="9" width="14" customWidth="1"/>
    <col min="10" max="10" width="20" customWidth="1"/>
    <col min="11" max="11" width="22" customWidth="1"/>
  </cols>
  <sheetData>
    <row r="1" ht="28" customHeight="1" spans="1:11" x14ac:dyDescent="0.25">
      <c r="A1" s="3" t="s">
        <v>22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2" t="s">
        <v>23</v>
      </c>
      <c r="B2" s="2"/>
      <c r="C2" s="4" t="s">
        <v>2</v>
      </c>
      <c r="D2" s="4"/>
      <c r="E2" s="4"/>
      <c r="F2" s="2" t="s">
        <v>24</v>
      </c>
      <c r="G2" s="2"/>
      <c r="H2" s="2"/>
      <c r="I2" s="4" t="s">
        <v>2</v>
      </c>
      <c r="J2" s="4"/>
      <c r="K2" s="4"/>
    </row>
    <row r="3" spans="1:11" x14ac:dyDescent="0.25">
      <c r="A3" s="2" t="s">
        <v>25</v>
      </c>
      <c r="B3" s="2"/>
      <c r="C3" s="4" t="s">
        <v>2</v>
      </c>
      <c r="D3" s="4"/>
      <c r="E3" s="4"/>
      <c r="F3" s="2" t="s">
        <v>26</v>
      </c>
      <c r="G3" s="2"/>
      <c r="H3" s="2"/>
      <c r="I3" s="4" t="s">
        <v>2</v>
      </c>
      <c r="J3" s="4"/>
      <c r="K3" s="4"/>
    </row>
    <row r="4" spans="1:11" x14ac:dyDescent="0.25">
      <c r="A4" s="2" t="s">
        <v>27</v>
      </c>
      <c r="B4" s="2"/>
      <c r="C4" s="4" t="s">
        <v>2</v>
      </c>
      <c r="D4" s="4"/>
      <c r="E4" s="4"/>
      <c r="F4" s="2" t="s">
        <v>28</v>
      </c>
      <c r="G4" s="2"/>
      <c r="H4" s="2"/>
      <c r="I4" s="4" t="s">
        <v>2</v>
      </c>
      <c r="J4" s="4"/>
      <c r="K4" s="4"/>
    </row>
    <row r="5" spans="1:11" x14ac:dyDescent="0.25">
      <c r="A5" s="2" t="s">
        <v>29</v>
      </c>
      <c r="B5" s="2"/>
      <c r="C5" s="4" t="s">
        <v>2</v>
      </c>
      <c r="D5" s="4"/>
      <c r="E5" s="4"/>
      <c r="F5" s="2" t="s">
        <v>30</v>
      </c>
      <c r="G5" s="2"/>
      <c r="H5" s="2"/>
      <c r="I5" s="4" t="s">
        <v>2</v>
      </c>
      <c r="J5" s="4"/>
      <c r="K5" s="4"/>
    </row>
    <row r="7" ht="22" customHeight="1" spans="1:11" x14ac:dyDescent="0.25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  <c r="G7" s="5" t="s">
        <v>37</v>
      </c>
      <c r="H7" s="5" t="s">
        <v>38</v>
      </c>
      <c r="I7" s="5" t="s">
        <v>39</v>
      </c>
      <c r="J7" s="5" t="s">
        <v>40</v>
      </c>
      <c r="K7" s="5" t="s">
        <v>41</v>
      </c>
    </row>
    <row r="8" spans="1:11" s="6" customFormat="1" x14ac:dyDescent="0.25">
      <c r="A8" s="6">
        <v>1</v>
      </c>
      <c r="B8" s="7">
        <v>46127.68999658564</v>
      </c>
      <c r="C8" s="6" t="s">
        <v>37</v>
      </c>
      <c r="D8" s="6" t="s">
        <v>42</v>
      </c>
      <c r="E8" s="7">
        <v>46492.68999658564</v>
      </c>
      <c r="F8" s="6">
        <f>E8-TODAY()</f>
      </c>
      <c r="G8" s="6">
        <v>100</v>
      </c>
      <c r="H8" s="6">
        <v>0</v>
      </c>
      <c r="I8" s="6">
        <f>G8-H8</f>
      </c>
      <c r="J8" s="6" t="s">
        <v>43</v>
      </c>
      <c r="K8" s="6" t="s">
        <v>44</v>
      </c>
    </row>
    <row r="9" spans="1:11" x14ac:dyDescent="0.25">
      <c r="A9" s="8">
        <f>A8+1</f>
      </c>
      <c r="B9" s="9"/>
      <c r="C9" s="8"/>
      <c r="D9" s="8"/>
      <c r="E9" s="9"/>
      <c r="F9" s="8">
        <f>IF(E9="","",E9-TODAY())</f>
      </c>
      <c r="G9" s="8"/>
      <c r="H9" s="8"/>
      <c r="I9" s="8">
        <f>IF(AND(G9="",H9=""),"",I8+IF(G9="",0,G9)-IF(H9="",0,H9))</f>
      </c>
      <c r="J9" s="8"/>
      <c r="K9" s="8"/>
    </row>
    <row r="10" spans="1:11" x14ac:dyDescent="0.25">
      <c r="A10" s="8">
        <f>A9+1</f>
      </c>
      <c r="B10" s="9"/>
      <c r="C10" s="8"/>
      <c r="D10" s="8"/>
      <c r="E10" s="9"/>
      <c r="F10" s="8">
        <f>IF(E10="","",E10-TODAY())</f>
      </c>
      <c r="G10" s="8"/>
      <c r="H10" s="8"/>
      <c r="I10" s="8">
        <f>IF(AND(G10="",H10=""),"",I9+IF(G10="",0,G10)-IF(H10="",0,H10))</f>
      </c>
      <c r="J10" s="8"/>
      <c r="K10" s="8"/>
    </row>
    <row r="11" spans="1:11" x14ac:dyDescent="0.25">
      <c r="A11" s="8">
        <f>A10+1</f>
      </c>
      <c r="B11" s="9"/>
      <c r="C11" s="8"/>
      <c r="D11" s="8"/>
      <c r="E11" s="9"/>
      <c r="F11" s="8">
        <f>IF(E11="","",E11-TODAY())</f>
      </c>
      <c r="G11" s="8"/>
      <c r="H11" s="8"/>
      <c r="I11" s="8">
        <f>IF(AND(G11="",H11=""),"",I10+IF(G11="",0,G11)-IF(H11="",0,H11))</f>
      </c>
      <c r="J11" s="8"/>
      <c r="K11" s="8"/>
    </row>
    <row r="12" spans="1:11" x14ac:dyDescent="0.25">
      <c r="A12" s="8">
        <f>A11+1</f>
      </c>
      <c r="B12" s="9"/>
      <c r="C12" s="8"/>
      <c r="D12" s="8"/>
      <c r="E12" s="9"/>
      <c r="F12" s="8">
        <f>IF(E12="","",E12-TODAY())</f>
      </c>
      <c r="G12" s="8"/>
      <c r="H12" s="8"/>
      <c r="I12" s="8">
        <f>IF(AND(G12="",H12=""),"",I11+IF(G12="",0,G12)-IF(H12="",0,H12))</f>
      </c>
      <c r="J12" s="8"/>
      <c r="K12" s="8"/>
    </row>
    <row r="13" spans="1:11" x14ac:dyDescent="0.25">
      <c r="A13" s="8">
        <f>A12+1</f>
      </c>
      <c r="B13" s="9"/>
      <c r="C13" s="8"/>
      <c r="D13" s="8"/>
      <c r="E13" s="9"/>
      <c r="F13" s="8">
        <f>IF(E13="","",E13-TODAY())</f>
      </c>
      <c r="G13" s="8"/>
      <c r="H13" s="8"/>
      <c r="I13" s="8">
        <f>IF(AND(G13="",H13=""),"",I12+IF(G13="",0,G13)-IF(H13="",0,H13))</f>
      </c>
      <c r="J13" s="8"/>
      <c r="K13" s="8"/>
    </row>
    <row r="14" spans="1:11" x14ac:dyDescent="0.25">
      <c r="A14" s="8">
        <f>A13+1</f>
      </c>
      <c r="B14" s="9"/>
      <c r="C14" s="8"/>
      <c r="D14" s="8"/>
      <c r="E14" s="9"/>
      <c r="F14" s="8">
        <f>IF(E14="","",E14-TODAY())</f>
      </c>
      <c r="G14" s="8"/>
      <c r="H14" s="8"/>
      <c r="I14" s="8">
        <f>IF(AND(G14="",H14=""),"",I13+IF(G14="",0,G14)-IF(H14="",0,H14))</f>
      </c>
      <c r="J14" s="8"/>
      <c r="K14" s="8"/>
    </row>
    <row r="15" spans="1:11" x14ac:dyDescent="0.25">
      <c r="A15" s="8">
        <f>A14+1</f>
      </c>
      <c r="B15" s="9"/>
      <c r="C15" s="8"/>
      <c r="D15" s="8"/>
      <c r="E15" s="9"/>
      <c r="F15" s="8">
        <f>IF(E15="","",E15-TODAY())</f>
      </c>
      <c r="G15" s="8"/>
      <c r="H15" s="8"/>
      <c r="I15" s="8">
        <f>IF(AND(G15="",H15=""),"",I14+IF(G15="",0,G15)-IF(H15="",0,H15))</f>
      </c>
      <c r="J15" s="8"/>
      <c r="K15" s="8"/>
    </row>
    <row r="16" spans="1:11" x14ac:dyDescent="0.25">
      <c r="A16" s="8">
        <f>A15+1</f>
      </c>
      <c r="B16" s="9"/>
      <c r="C16" s="8"/>
      <c r="D16" s="8"/>
      <c r="E16" s="9"/>
      <c r="F16" s="8">
        <f>IF(E16="","",E16-TODAY())</f>
      </c>
      <c r="G16" s="8"/>
      <c r="H16" s="8"/>
      <c r="I16" s="8">
        <f>IF(AND(G16="",H16=""),"",I15+IF(G16="",0,G16)-IF(H16="",0,H16))</f>
      </c>
      <c r="J16" s="8"/>
      <c r="K16" s="8"/>
    </row>
    <row r="17" spans="1:11" x14ac:dyDescent="0.25">
      <c r="A17" s="8">
        <f>A16+1</f>
      </c>
      <c r="B17" s="9"/>
      <c r="C17" s="8"/>
      <c r="D17" s="8"/>
      <c r="E17" s="9"/>
      <c r="F17" s="8">
        <f>IF(E17="","",E17-TODAY())</f>
      </c>
      <c r="G17" s="8"/>
      <c r="H17" s="8"/>
      <c r="I17" s="8">
        <f>IF(AND(G17="",H17=""),"",I16+IF(G17="",0,G17)-IF(H17="",0,H17))</f>
      </c>
      <c r="J17" s="8"/>
      <c r="K17" s="8"/>
    </row>
    <row r="18" spans="1:11" x14ac:dyDescent="0.25">
      <c r="A18" s="8">
        <f>A17+1</f>
      </c>
      <c r="B18" s="9"/>
      <c r="C18" s="8"/>
      <c r="D18" s="8"/>
      <c r="E18" s="9"/>
      <c r="F18" s="8">
        <f>IF(E18="","",E18-TODAY())</f>
      </c>
      <c r="G18" s="8"/>
      <c r="H18" s="8"/>
      <c r="I18" s="8">
        <f>IF(AND(G18="",H18=""),"",I17+IF(G18="",0,G18)-IF(H18="",0,H18))</f>
      </c>
      <c r="J18" s="8"/>
      <c r="K18" s="8"/>
    </row>
    <row r="19" spans="1:11" x14ac:dyDescent="0.25">
      <c r="A19" s="8">
        <f>A18+1</f>
      </c>
      <c r="B19" s="9"/>
      <c r="C19" s="8"/>
      <c r="D19" s="8"/>
      <c r="E19" s="9"/>
      <c r="F19" s="8">
        <f>IF(E19="","",E19-TODAY())</f>
      </c>
      <c r="G19" s="8"/>
      <c r="H19" s="8"/>
      <c r="I19" s="8">
        <f>IF(AND(G19="",H19=""),"",I18+IF(G19="",0,G19)-IF(H19="",0,H19))</f>
      </c>
      <c r="J19" s="8"/>
      <c r="K19" s="8"/>
    </row>
    <row r="20" spans="1:11" x14ac:dyDescent="0.25">
      <c r="A20" s="8">
        <f>A19+1</f>
      </c>
      <c r="B20" s="9"/>
      <c r="C20" s="8"/>
      <c r="D20" s="8"/>
      <c r="E20" s="9"/>
      <c r="F20" s="8">
        <f>IF(E20="","",E20-TODAY())</f>
      </c>
      <c r="G20" s="8"/>
      <c r="H20" s="8"/>
      <c r="I20" s="8">
        <f>IF(AND(G20="",H20=""),"",I19+IF(G20="",0,G20)-IF(H20="",0,H20))</f>
      </c>
      <c r="J20" s="8"/>
      <c r="K20" s="8"/>
    </row>
    <row r="21" spans="1:11" x14ac:dyDescent="0.25">
      <c r="A21" s="8">
        <f>A20+1</f>
      </c>
      <c r="B21" s="9"/>
      <c r="C21" s="8"/>
      <c r="D21" s="8"/>
      <c r="E21" s="9"/>
      <c r="F21" s="8">
        <f>IF(E21="","",E21-TODAY())</f>
      </c>
      <c r="G21" s="8"/>
      <c r="H21" s="8"/>
      <c r="I21" s="8">
        <f>IF(AND(G21="",H21=""),"",I20+IF(G21="",0,G21)-IF(H21="",0,H21))</f>
      </c>
      <c r="J21" s="8"/>
      <c r="K21" s="8"/>
    </row>
    <row r="22" spans="1:11" x14ac:dyDescent="0.25">
      <c r="A22" s="8">
        <f>A21+1</f>
      </c>
      <c r="B22" s="9"/>
      <c r="C22" s="8"/>
      <c r="D22" s="8"/>
      <c r="E22" s="9"/>
      <c r="F22" s="8">
        <f>IF(E22="","",E22-TODAY())</f>
      </c>
      <c r="G22" s="8"/>
      <c r="H22" s="8"/>
      <c r="I22" s="8">
        <f>IF(AND(G22="",H22=""),"",I21+IF(G22="",0,G22)-IF(H22="",0,H22))</f>
      </c>
      <c r="J22" s="8"/>
      <c r="K22" s="8"/>
    </row>
    <row r="23" spans="1:11" x14ac:dyDescent="0.25">
      <c r="A23" s="8">
        <f>A22+1</f>
      </c>
      <c r="B23" s="9"/>
      <c r="C23" s="8"/>
      <c r="D23" s="8"/>
      <c r="E23" s="9"/>
      <c r="F23" s="8">
        <f>IF(E23="","",E23-TODAY())</f>
      </c>
      <c r="G23" s="8"/>
      <c r="H23" s="8"/>
      <c r="I23" s="8">
        <f>IF(AND(G23="",H23=""),"",I22+IF(G23="",0,G23)-IF(H23="",0,H23))</f>
      </c>
      <c r="J23" s="8"/>
      <c r="K23" s="8"/>
    </row>
    <row r="24" spans="1:11" x14ac:dyDescent="0.25">
      <c r="A24" s="8">
        <f>A23+1</f>
      </c>
      <c r="B24" s="9"/>
      <c r="C24" s="8"/>
      <c r="D24" s="8"/>
      <c r="E24" s="9"/>
      <c r="F24" s="8">
        <f>IF(E24="","",E24-TODAY())</f>
      </c>
      <c r="G24" s="8"/>
      <c r="H24" s="8"/>
      <c r="I24" s="8">
        <f>IF(AND(G24="",H24=""),"",I23+IF(G24="",0,G24)-IF(H24="",0,H24))</f>
      </c>
      <c r="J24" s="8"/>
      <c r="K24" s="8"/>
    </row>
    <row r="25" spans="1:11" x14ac:dyDescent="0.25">
      <c r="A25" s="8">
        <f>A24+1</f>
      </c>
      <c r="B25" s="9"/>
      <c r="C25" s="8"/>
      <c r="D25" s="8"/>
      <c r="E25" s="9"/>
      <c r="F25" s="8">
        <f>IF(E25="","",E25-TODAY())</f>
      </c>
      <c r="G25" s="8"/>
      <c r="H25" s="8"/>
      <c r="I25" s="8">
        <f>IF(AND(G25="",H25=""),"",I24+IF(G25="",0,G25)-IF(H25="",0,H25))</f>
      </c>
      <c r="J25" s="8"/>
      <c r="K25" s="8"/>
    </row>
    <row r="26" spans="1:11" x14ac:dyDescent="0.25">
      <c r="A26" s="8">
        <f>A25+1</f>
      </c>
      <c r="B26" s="9"/>
      <c r="C26" s="8"/>
      <c r="D26" s="8"/>
      <c r="E26" s="9"/>
      <c r="F26" s="8">
        <f>IF(E26="","",E26-TODAY())</f>
      </c>
      <c r="G26" s="8"/>
      <c r="H26" s="8"/>
      <c r="I26" s="8">
        <f>IF(AND(G26="",H26=""),"",I25+IF(G26="",0,G26)-IF(H26="",0,H26))</f>
      </c>
      <c r="J26" s="8"/>
      <c r="K26" s="8"/>
    </row>
    <row r="27" spans="1:11" x14ac:dyDescent="0.25">
      <c r="A27" s="8">
        <f>A26+1</f>
      </c>
      <c r="B27" s="9"/>
      <c r="C27" s="8"/>
      <c r="D27" s="8"/>
      <c r="E27" s="9"/>
      <c r="F27" s="8">
        <f>IF(E27="","",E27-TODAY())</f>
      </c>
      <c r="G27" s="8"/>
      <c r="H27" s="8"/>
      <c r="I27" s="8">
        <f>IF(AND(G27="",H27=""),"",I26+IF(G27="",0,G27)-IF(H27="",0,H27))</f>
      </c>
      <c r="J27" s="8"/>
      <c r="K27" s="8"/>
    </row>
    <row r="28" spans="1:11" x14ac:dyDescent="0.25">
      <c r="A28" s="8">
        <f>A27+1</f>
      </c>
      <c r="B28" s="9"/>
      <c r="C28" s="8"/>
      <c r="D28" s="8"/>
      <c r="E28" s="9"/>
      <c r="F28" s="8">
        <f>IF(E28="","",E28-TODAY())</f>
      </c>
      <c r="G28" s="8"/>
      <c r="H28" s="8"/>
      <c r="I28" s="8">
        <f>IF(AND(G28="",H28=""),"",I27+IF(G28="",0,G28)-IF(H28="",0,H28))</f>
      </c>
      <c r="J28" s="8"/>
      <c r="K28" s="8"/>
    </row>
    <row r="29" spans="1:11" x14ac:dyDescent="0.25">
      <c r="A29" s="8">
        <f>A28+1</f>
      </c>
      <c r="B29" s="9"/>
      <c r="C29" s="8"/>
      <c r="D29" s="8"/>
      <c r="E29" s="9"/>
      <c r="F29" s="8">
        <f>IF(E29="","",E29-TODAY())</f>
      </c>
      <c r="G29" s="8"/>
      <c r="H29" s="8"/>
      <c r="I29" s="8">
        <f>IF(AND(G29="",H29=""),"",I28+IF(G29="",0,G29)-IF(H29="",0,H29))</f>
      </c>
      <c r="J29" s="8"/>
      <c r="K29" s="8"/>
    </row>
    <row r="30" spans="1:11" x14ac:dyDescent="0.25">
      <c r="A30" s="8">
        <f>A29+1</f>
      </c>
      <c r="B30" s="9"/>
      <c r="C30" s="8"/>
      <c r="D30" s="8"/>
      <c r="E30" s="9"/>
      <c r="F30" s="8">
        <f>IF(E30="","",E30-TODAY())</f>
      </c>
      <c r="G30" s="8"/>
      <c r="H30" s="8"/>
      <c r="I30" s="8">
        <f>IF(AND(G30="",H30=""),"",I29+IF(G30="",0,G30)-IF(H30="",0,H30))</f>
      </c>
      <c r="J30" s="8"/>
      <c r="K30" s="8"/>
    </row>
    <row r="31" spans="1:11" x14ac:dyDescent="0.25">
      <c r="A31" s="8">
        <f>A30+1</f>
      </c>
      <c r="B31" s="9"/>
      <c r="C31" s="8"/>
      <c r="D31" s="8"/>
      <c r="E31" s="9"/>
      <c r="F31" s="8">
        <f>IF(E31="","",E31-TODAY())</f>
      </c>
      <c r="G31" s="8"/>
      <c r="H31" s="8"/>
      <c r="I31" s="8">
        <f>IF(AND(G31="",H31=""),"",I30+IF(G31="",0,G31)-IF(H31="",0,H31))</f>
      </c>
      <c r="J31" s="8"/>
      <c r="K31" s="8"/>
    </row>
    <row r="32" spans="1:11" x14ac:dyDescent="0.25">
      <c r="A32" s="8">
        <f>A31+1</f>
      </c>
      <c r="B32" s="9"/>
      <c r="C32" s="8"/>
      <c r="D32" s="8"/>
      <c r="E32" s="9"/>
      <c r="F32" s="8">
        <f>IF(E32="","",E32-TODAY())</f>
      </c>
      <c r="G32" s="8"/>
      <c r="H32" s="8"/>
      <c r="I32" s="8">
        <f>IF(AND(G32="",H32=""),"",I31+IF(G32="",0,G32)-IF(H32="",0,H32))</f>
      </c>
      <c r="J32" s="8"/>
      <c r="K32" s="8"/>
    </row>
    <row r="33" spans="1:11" x14ac:dyDescent="0.25">
      <c r="A33" s="8">
        <f>A32+1</f>
      </c>
      <c r="B33" s="9"/>
      <c r="C33" s="8"/>
      <c r="D33" s="8"/>
      <c r="E33" s="9"/>
      <c r="F33" s="8">
        <f>IF(E33="","",E33-TODAY())</f>
      </c>
      <c r="G33" s="8"/>
      <c r="H33" s="8"/>
      <c r="I33" s="8">
        <f>IF(AND(G33="",H33=""),"",I32+IF(G33="",0,G33)-IF(H33="",0,H33))</f>
      </c>
      <c r="J33" s="8"/>
      <c r="K33" s="8"/>
    </row>
    <row r="34" spans="1:11" x14ac:dyDescent="0.25">
      <c r="A34" s="8">
        <f>A33+1</f>
      </c>
      <c r="B34" s="9"/>
      <c r="C34" s="8"/>
      <c r="D34" s="8"/>
      <c r="E34" s="9"/>
      <c r="F34" s="8">
        <f>IF(E34="","",E34-TODAY())</f>
      </c>
      <c r="G34" s="8"/>
      <c r="H34" s="8"/>
      <c r="I34" s="8">
        <f>IF(AND(G34="",H34=""),"",I33+IF(G34="",0,G34)-IF(H34="",0,H34))</f>
      </c>
      <c r="J34" s="8"/>
      <c r="K34" s="8"/>
    </row>
    <row r="35" spans="1:11" x14ac:dyDescent="0.25">
      <c r="A35" s="8">
        <f>A34+1</f>
      </c>
      <c r="B35" s="9"/>
      <c r="C35" s="8"/>
      <c r="D35" s="8"/>
      <c r="E35" s="9"/>
      <c r="F35" s="8">
        <f>IF(E35="","",E35-TODAY())</f>
      </c>
      <c r="G35" s="8"/>
      <c r="H35" s="8"/>
      <c r="I35" s="8">
        <f>IF(AND(G35="",H35=""),"",I34+IF(G35="",0,G35)-IF(H35="",0,H35))</f>
      </c>
      <c r="J35" s="8"/>
      <c r="K35" s="8"/>
    </row>
    <row r="36" spans="1:11" x14ac:dyDescent="0.25">
      <c r="A36" s="8">
        <f>A35+1</f>
      </c>
      <c r="B36" s="9"/>
      <c r="C36" s="8"/>
      <c r="D36" s="8"/>
      <c r="E36" s="9"/>
      <c r="F36" s="8">
        <f>IF(E36="","",E36-TODAY())</f>
      </c>
      <c r="G36" s="8"/>
      <c r="H36" s="8"/>
      <c r="I36" s="8">
        <f>IF(AND(G36="",H36=""),"",I35+IF(G36="",0,G36)-IF(H36="",0,H36))</f>
      </c>
      <c r="J36" s="8"/>
      <c r="K36" s="8"/>
    </row>
    <row r="37" spans="1:11" x14ac:dyDescent="0.25">
      <c r="A37" s="8">
        <f>A36+1</f>
      </c>
      <c r="B37" s="9"/>
      <c r="C37" s="8"/>
      <c r="D37" s="8"/>
      <c r="E37" s="9"/>
      <c r="F37" s="8">
        <f>IF(E37="","",E37-TODAY())</f>
      </c>
      <c r="G37" s="8"/>
      <c r="H37" s="8"/>
      <c r="I37" s="8">
        <f>IF(AND(G37="",H37=""),"",I36+IF(G37="",0,G37)-IF(H37="",0,H37))</f>
      </c>
      <c r="J37" s="8"/>
      <c r="K37" s="8"/>
    </row>
    <row r="38" spans="1:11" x14ac:dyDescent="0.25">
      <c r="A38" s="8">
        <f>A37+1</f>
      </c>
      <c r="B38" s="9"/>
      <c r="C38" s="8"/>
      <c r="D38" s="8"/>
      <c r="E38" s="9"/>
      <c r="F38" s="8">
        <f>IF(E38="","",E38-TODAY())</f>
      </c>
      <c r="G38" s="8"/>
      <c r="H38" s="8"/>
      <c r="I38" s="8">
        <f>IF(AND(G38="",H38=""),"",I37+IF(G38="",0,G38)-IF(H38="",0,H38))</f>
      </c>
      <c r="J38" s="8"/>
      <c r="K38" s="8"/>
    </row>
    <row r="39" spans="1:11" x14ac:dyDescent="0.25">
      <c r="A39" s="8">
        <f>A38+1</f>
      </c>
      <c r="B39" s="9"/>
      <c r="C39" s="8"/>
      <c r="D39" s="8"/>
      <c r="E39" s="9"/>
      <c r="F39" s="8">
        <f>IF(E39="","",E39-TODAY())</f>
      </c>
      <c r="G39" s="8"/>
      <c r="H39" s="8"/>
      <c r="I39" s="8">
        <f>IF(AND(G39="",H39=""),"",I38+IF(G39="",0,G39)-IF(H39="",0,H39))</f>
      </c>
      <c r="J39" s="8"/>
      <c r="K39" s="8"/>
    </row>
    <row r="40" spans="1:11" x14ac:dyDescent="0.25">
      <c r="A40" s="8">
        <f>A39+1</f>
      </c>
      <c r="B40" s="9"/>
      <c r="C40" s="8"/>
      <c r="D40" s="8"/>
      <c r="E40" s="9"/>
      <c r="F40" s="8">
        <f>IF(E40="","",E40-TODAY())</f>
      </c>
      <c r="G40" s="8"/>
      <c r="H40" s="8"/>
      <c r="I40" s="8">
        <f>IF(AND(G40="",H40=""),"",I39+IF(G40="",0,G40)-IF(H40="",0,H40))</f>
      </c>
      <c r="J40" s="8"/>
      <c r="K40" s="8"/>
    </row>
    <row r="41" spans="1:11" x14ac:dyDescent="0.25">
      <c r="A41" s="8">
        <f>A40+1</f>
      </c>
      <c r="B41" s="9"/>
      <c r="C41" s="8"/>
      <c r="D41" s="8"/>
      <c r="E41" s="9"/>
      <c r="F41" s="8">
        <f>IF(E41="","",E41-TODAY())</f>
      </c>
      <c r="G41" s="8"/>
      <c r="H41" s="8"/>
      <c r="I41" s="8">
        <f>IF(AND(G41="",H41=""),"",I40+IF(G41="",0,G41)-IF(H41="",0,H41))</f>
      </c>
      <c r="J41" s="8"/>
      <c r="K41" s="8"/>
    </row>
    <row r="42" spans="1:11" x14ac:dyDescent="0.25">
      <c r="A42" s="8">
        <f>A41+1</f>
      </c>
      <c r="B42" s="9"/>
      <c r="C42" s="8"/>
      <c r="D42" s="8"/>
      <c r="E42" s="9"/>
      <c r="F42" s="8">
        <f>IF(E42="","",E42-TODAY())</f>
      </c>
      <c r="G42" s="8"/>
      <c r="H42" s="8"/>
      <c r="I42" s="8">
        <f>IF(AND(G42="",H42=""),"",I41+IF(G42="",0,G42)-IF(H42="",0,H42))</f>
      </c>
      <c r="J42" s="8"/>
      <c r="K42" s="8"/>
    </row>
    <row r="43" spans="1:11" x14ac:dyDescent="0.25">
      <c r="A43" s="8">
        <f>A42+1</f>
      </c>
      <c r="B43" s="9"/>
      <c r="C43" s="8"/>
      <c r="D43" s="8"/>
      <c r="E43" s="9"/>
      <c r="F43" s="8">
        <f>IF(E43="","",E43-TODAY())</f>
      </c>
      <c r="G43" s="8"/>
      <c r="H43" s="8"/>
      <c r="I43" s="8">
        <f>IF(AND(G43="",H43=""),"",I42+IF(G43="",0,G43)-IF(H43="",0,H43))</f>
      </c>
      <c r="J43" s="8"/>
      <c r="K43" s="8"/>
    </row>
    <row r="44" spans="1:11" x14ac:dyDescent="0.25">
      <c r="A44" s="8">
        <f>A43+1</f>
      </c>
      <c r="B44" s="9"/>
      <c r="C44" s="8"/>
      <c r="D44" s="8"/>
      <c r="E44" s="9"/>
      <c r="F44" s="8">
        <f>IF(E44="","",E44-TODAY())</f>
      </c>
      <c r="G44" s="8"/>
      <c r="H44" s="8"/>
      <c r="I44" s="8">
        <f>IF(AND(G44="",H44=""),"",I43+IF(G44="",0,G44)-IF(H44="",0,H44))</f>
      </c>
      <c r="J44" s="8"/>
      <c r="K44" s="8"/>
    </row>
    <row r="45" spans="1:11" x14ac:dyDescent="0.25">
      <c r="A45" s="8">
        <f>A44+1</f>
      </c>
      <c r="B45" s="9"/>
      <c r="C45" s="8"/>
      <c r="D45" s="8"/>
      <c r="E45" s="9"/>
      <c r="F45" s="8">
        <f>IF(E45="","",E45-TODAY())</f>
      </c>
      <c r="G45" s="8"/>
      <c r="H45" s="8"/>
      <c r="I45" s="8">
        <f>IF(AND(G45="",H45=""),"",I44+IF(G45="",0,G45)-IF(H45="",0,H45))</f>
      </c>
      <c r="J45" s="8"/>
      <c r="K45" s="8"/>
    </row>
    <row r="46" spans="1:11" x14ac:dyDescent="0.25">
      <c r="A46" s="8">
        <f>A45+1</f>
      </c>
      <c r="B46" s="9"/>
      <c r="C46" s="8"/>
      <c r="D46" s="8"/>
      <c r="E46" s="9"/>
      <c r="F46" s="8">
        <f>IF(E46="","",E46-TODAY())</f>
      </c>
      <c r="G46" s="8"/>
      <c r="H46" s="8"/>
      <c r="I46" s="8">
        <f>IF(AND(G46="",H46=""),"",I45+IF(G46="",0,G46)-IF(H46="",0,H46))</f>
      </c>
      <c r="J46" s="8"/>
      <c r="K46" s="8"/>
    </row>
    <row r="47" spans="1:11" x14ac:dyDescent="0.25">
      <c r="A47" s="8">
        <f>A46+1</f>
      </c>
      <c r="B47" s="9"/>
      <c r="C47" s="8"/>
      <c r="D47" s="8"/>
      <c r="E47" s="9"/>
      <c r="F47" s="8">
        <f>IF(E47="","",E47-TODAY())</f>
      </c>
      <c r="G47" s="8"/>
      <c r="H47" s="8"/>
      <c r="I47" s="8">
        <f>IF(AND(G47="",H47=""),"",I46+IF(G47="",0,G47)-IF(H47="",0,H47))</f>
      </c>
      <c r="J47" s="8"/>
      <c r="K47" s="8"/>
    </row>
    <row r="48" spans="1:11" x14ac:dyDescent="0.25">
      <c r="A48" s="8">
        <f>A47+1</f>
      </c>
      <c r="B48" s="9"/>
      <c r="C48" s="8"/>
      <c r="D48" s="8"/>
      <c r="E48" s="9"/>
      <c r="F48" s="8">
        <f>IF(E48="","",E48-TODAY())</f>
      </c>
      <c r="G48" s="8"/>
      <c r="H48" s="8"/>
      <c r="I48" s="8">
        <f>IF(AND(G48="",H48=""),"",I47+IF(G48="",0,G48)-IF(H48="",0,H48))</f>
      </c>
      <c r="J48" s="8"/>
      <c r="K48" s="8"/>
    </row>
    <row r="49" spans="1:11" x14ac:dyDescent="0.25">
      <c r="A49" s="8">
        <f>A48+1</f>
      </c>
      <c r="B49" s="9"/>
      <c r="C49" s="8"/>
      <c r="D49" s="8"/>
      <c r="E49" s="9"/>
      <c r="F49" s="8">
        <f>IF(E49="","",E49-TODAY())</f>
      </c>
      <c r="G49" s="8"/>
      <c r="H49" s="8"/>
      <c r="I49" s="8">
        <f>IF(AND(G49="",H49=""),"",I48+IF(G49="",0,G49)-IF(H49="",0,H49))</f>
      </c>
      <c r="J49" s="8"/>
      <c r="K49" s="8"/>
    </row>
    <row r="50" spans="1:11" x14ac:dyDescent="0.25">
      <c r="A50" s="8">
        <f>A49+1</f>
      </c>
      <c r="B50" s="9"/>
      <c r="C50" s="8"/>
      <c r="D50" s="8"/>
      <c r="E50" s="9"/>
      <c r="F50" s="8">
        <f>IF(E50="","",E50-TODAY())</f>
      </c>
      <c r="G50" s="8"/>
      <c r="H50" s="8"/>
      <c r="I50" s="8">
        <f>IF(AND(G50="",H50=""),"",I49+IF(G50="",0,G50)-IF(H50="",0,H50))</f>
      </c>
      <c r="J50" s="8"/>
      <c r="K50" s="8"/>
    </row>
    <row r="51" spans="1:11" x14ac:dyDescent="0.25">
      <c r="A51" s="8">
        <f>A50+1</f>
      </c>
      <c r="B51" s="9"/>
      <c r="C51" s="8"/>
      <c r="D51" s="8"/>
      <c r="E51" s="9"/>
      <c r="F51" s="8">
        <f>IF(E51="","",E51-TODAY())</f>
      </c>
      <c r="G51" s="8"/>
      <c r="H51" s="8"/>
      <c r="I51" s="8">
        <f>IF(AND(G51="",H51=""),"",I50+IF(G51="",0,G51)-IF(H51="",0,H51))</f>
      </c>
      <c r="J51" s="8"/>
      <c r="K51" s="8"/>
    </row>
    <row r="52" spans="1:11" x14ac:dyDescent="0.25">
      <c r="A52" s="8">
        <f>A51+1</f>
      </c>
      <c r="B52" s="9"/>
      <c r="C52" s="8"/>
      <c r="D52" s="8"/>
      <c r="E52" s="9"/>
      <c r="F52" s="8">
        <f>IF(E52="","",E52-TODAY())</f>
      </c>
      <c r="G52" s="8"/>
      <c r="H52" s="8"/>
      <c r="I52" s="8">
        <f>IF(AND(G52="",H52=""),"",I51+IF(G52="",0,G52)-IF(H52="",0,H52))</f>
      </c>
      <c r="J52" s="8"/>
      <c r="K52" s="8"/>
    </row>
    <row r="53" spans="1:11" x14ac:dyDescent="0.25">
      <c r="A53" s="8">
        <f>A52+1</f>
      </c>
      <c r="B53" s="9"/>
      <c r="C53" s="8"/>
      <c r="D53" s="8"/>
      <c r="E53" s="9"/>
      <c r="F53" s="8">
        <f>IF(E53="","",E53-TODAY())</f>
      </c>
      <c r="G53" s="8"/>
      <c r="H53" s="8"/>
      <c r="I53" s="8">
        <f>IF(AND(G53="",H53=""),"",I52+IF(G53="",0,G53)-IF(H53="",0,H53))</f>
      </c>
      <c r="J53" s="8"/>
      <c r="K53" s="8"/>
    </row>
    <row r="54" spans="1:11" x14ac:dyDescent="0.25">
      <c r="A54" s="8">
        <f>A53+1</f>
      </c>
      <c r="B54" s="9"/>
      <c r="C54" s="8"/>
      <c r="D54" s="8"/>
      <c r="E54" s="9"/>
      <c r="F54" s="8">
        <f>IF(E54="","",E54-TODAY())</f>
      </c>
      <c r="G54" s="8"/>
      <c r="H54" s="8"/>
      <c r="I54" s="8">
        <f>IF(AND(G54="",H54=""),"",I53+IF(G54="",0,G54)-IF(H54="",0,H54))</f>
      </c>
      <c r="J54" s="8"/>
      <c r="K54" s="8"/>
    </row>
    <row r="55" spans="1:11" x14ac:dyDescent="0.25">
      <c r="A55" s="8">
        <f>A54+1</f>
      </c>
      <c r="B55" s="9"/>
      <c r="C55" s="8"/>
      <c r="D55" s="8"/>
      <c r="E55" s="9"/>
      <c r="F55" s="8">
        <f>IF(E55="","",E55-TODAY())</f>
      </c>
      <c r="G55" s="8"/>
      <c r="H55" s="8"/>
      <c r="I55" s="8">
        <f>IF(AND(G55="",H55=""),"",I54+IF(G55="",0,G55)-IF(H55="",0,H55))</f>
      </c>
      <c r="J55" s="8"/>
      <c r="K55" s="8"/>
    </row>
    <row r="56" spans="1:11" x14ac:dyDescent="0.25">
      <c r="A56" s="8">
        <f>A55+1</f>
      </c>
      <c r="B56" s="9"/>
      <c r="C56" s="8"/>
      <c r="D56" s="8"/>
      <c r="E56" s="9"/>
      <c r="F56" s="8">
        <f>IF(E56="","",E56-TODAY())</f>
      </c>
      <c r="G56" s="8"/>
      <c r="H56" s="8"/>
      <c r="I56" s="8">
        <f>IF(AND(G56="",H56=""),"",I55+IF(G56="",0,G56)-IF(H56="",0,H56))</f>
      </c>
      <c r="J56" s="8"/>
      <c r="K56" s="8"/>
    </row>
    <row r="57" spans="1:11" x14ac:dyDescent="0.25">
      <c r="A57" s="8">
        <f>A56+1</f>
      </c>
      <c r="B57" s="9"/>
      <c r="C57" s="8"/>
      <c r="D57" s="8"/>
      <c r="E57" s="9"/>
      <c r="F57" s="8">
        <f>IF(E57="","",E57-TODAY())</f>
      </c>
      <c r="G57" s="8"/>
      <c r="H57" s="8"/>
      <c r="I57" s="8">
        <f>IF(AND(G57="",H57=""),"",I56+IF(G57="",0,G57)-IF(H57="",0,H57))</f>
      </c>
      <c r="J57" s="8"/>
      <c r="K57" s="8"/>
    </row>
    <row r="58" spans="1:11" x14ac:dyDescent="0.25">
      <c r="A58" s="8">
        <f>A57+1</f>
      </c>
      <c r="B58" s="9"/>
      <c r="C58" s="8"/>
      <c r="D58" s="8"/>
      <c r="E58" s="9"/>
      <c r="F58" s="8">
        <f>IF(E58="","",E58-TODAY())</f>
      </c>
      <c r="G58" s="8"/>
      <c r="H58" s="8"/>
      <c r="I58" s="8">
        <f>IF(AND(G58="",H58=""),"",I57+IF(G58="",0,G58)-IF(H58="",0,H58))</f>
      </c>
      <c r="J58" s="8"/>
      <c r="K58" s="8"/>
    </row>
  </sheetData>
  <mergeCells count="17">
    <mergeCell ref="A1:K1"/>
    <mergeCell ref="A2:B2"/>
    <mergeCell ref="C2:E2"/>
    <mergeCell ref="F2:H2"/>
    <mergeCell ref="I2:K2"/>
    <mergeCell ref="A3:B3"/>
    <mergeCell ref="C3:E3"/>
    <mergeCell ref="F3:H3"/>
    <mergeCell ref="I3:K3"/>
    <mergeCell ref="A4:B4"/>
    <mergeCell ref="C4:E4"/>
    <mergeCell ref="F4:H4"/>
    <mergeCell ref="I4:K4"/>
    <mergeCell ref="A5:B5"/>
    <mergeCell ref="C5:E5"/>
    <mergeCell ref="F5:H5"/>
    <mergeCell ref="I5:K5"/>
  </mergeCells>
  <conditionalFormatting sqref="F8:F58">
    <cfRule type="cellIs" dxfId="0" priority="1" operator="lessThan">
      <formula>90</formula>
    </cfRule>
    <cfRule type="cellIs" dxfId="1" priority="2" operator="lessThan">
      <formula>180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Kárdex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TRIKLES - Curso FEUM Inventarios</dc:creator>
  <dc:title/>
  <dc:subject/>
  <dc:description/>
  <cp:keywords/>
  <cp:category/>
  <cp:lastModifiedBy>Unknown</cp:lastModifiedBy>
  <dcterms:created xsi:type="dcterms:W3CDTF">2026-04-15T16:33:35Z</dcterms:created>
  <dcterms:modified xsi:type="dcterms:W3CDTF">2026-04-15T16:33:35Z</dcterms:modified>
</cp:coreProperties>
</file>