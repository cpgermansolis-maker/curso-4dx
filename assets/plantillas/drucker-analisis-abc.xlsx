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Clientes" state="visible" r:id="rId5"/>
    <sheet sheetId="3" name="Canales" state="visible" r:id="rId6"/>
    <sheet sheetId="4" name="Cita Drucker" state="visible" r:id="rId7"/>
  </sheets>
  <calcPr calcId="171027"/>
</workbook>
</file>

<file path=xl/sharedStrings.xml><?xml version="1.0" encoding="utf-8"?>
<sst xmlns="http://schemas.openxmlformats.org/spreadsheetml/2006/main" count="56" uniqueCount="24">
  <si>
    <t>Análisis ABC — Productos</t>
  </si>
  <si>
    <t>Curso "La Gerencia Efectiva" — Método ABC (Pareto 80/20) de Peter F. Drucker</t>
  </si>
  <si>
    <t>#</t>
  </si>
  <si>
    <t>Producto / Línea</t>
  </si>
  <si>
    <t>Ingreso anual ($)</t>
  </si>
  <si>
    <t>% Ingreso</t>
  </si>
  <si>
    <t>% Acumulado</t>
  </si>
  <si>
    <t>Zona ABC</t>
  </si>
  <si>
    <t>Acción recomendada</t>
  </si>
  <si>
    <t>TOTAL</t>
  </si>
  <si>
    <t>INSTRUCCIONES</t>
  </si>
  <si>
    <t>1. Captura en columna B el nombre del producto / cliente / canal.</t>
  </si>
  <si>
    <t>2. En columna C coloca el ingreso anual (o utilidad, según tu criterio).</t>
  </si>
  <si>
    <t>3. Ordena los datos por la columna C de mayor a menor (Datos → Ordenar).</t>
  </si>
  <si>
    <t>4. Las columnas D, E, F, G se calculan automáticamente.</t>
  </si>
  <si>
    <t>5. Interpretación Drucker: la zona A son pocos elementos (≈20%) que generan ≈80% del ingreso.</t>
  </si>
  <si>
    <t>6. La zona C son muchos elementos (≈60%+) que apenas contribuyen — son candidatos a abandono planificado.</t>
  </si>
  <si>
    <t>7. Decisión clave: concentrar recursos en la zona A; convertir B en A si es posible; eliminar C.</t>
  </si>
  <si>
    <t>Análisis ABC — Clientes</t>
  </si>
  <si>
    <t>Cliente</t>
  </si>
  <si>
    <t>Análisis ABC — Canales</t>
  </si>
  <si>
    <t>Canal / Región</t>
  </si>
  <si>
    <t>Principio de concentración — Peter F. Drucker</t>
  </si>
  <si>
    <t xml:space="preserve">"La concentración es la clave de los resultados económicos reales. Ningún otro principio de eficacia es violado tan constantemente como el principio básico de la concentración... Nuestro lema parece ser: Hagamos un poco de todo."
— Peter F. Drucker, La Gerencia Efectiva, Cap. XIII: Las decisiones clave
Esta plantilla aplica el análisis ABC (Pareto 80/20) que Drucker propone para identificar dónde concentrar recursos. Úsala con tres dimensiones: productos, clientes y canales. La claridad sobre la zona A es la diferencia entre una empresa productiva y una dispersa.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</si>
</sst>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color rgb="FFFFFFFF"/>
    </font>
    <font>
      <b/>
    </font>
    <font>
      <b/>
      <color rgb="FF1E3A5F"/>
      <sz val="12"/>
    </font>
    <font>
      <sz val="10"/>
    </font>
    <font>
      <b/>
      <color rgb="FFFFFFFF"/>
      <sz val="14"/>
    </font>
    <font>
      <i/>
      <sz val="1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4" fillId="0" borderId="0" xfId="0" applyFont="1" applyAlignment="1">
      <alignment horizontal="right"/>
    </xf>
    <xf numFmtId="164" fontId="4" fillId="3" borderId="0" xfId="0" applyNumberFormat="1" applyFont="1" applyFill="1"/>
    <xf numFmtId="0" fontId="5" fillId="0" borderId="0" xfId="0" applyFont="1"/>
    <xf numFmtId="0" fontId="6" fillId="0" borderId="0" xfId="0" applyFont="1" applyAlignment="1">
      <alignment wrapText="1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FFF9C4"/>
        </patternFill>
      </fill>
    </dxf>
    <dxf>
      <fill>
        <patternFill patternType="solid">
          <bgColor rgb="FFFFCDD2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9C4"/>
        </patternFill>
      </fill>
    </dxf>
    <dxf>
      <fill>
        <patternFill patternType="solid">
          <bgColor rgb="FFFFCDD2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9C4"/>
        </patternFill>
      </fill>
    </dxf>
    <dxf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18" customWidth="1"/>
    <col min="4" max="4" width="12" customWidth="1"/>
    <col min="5" max="5" width="14" customWidth="1"/>
    <col min="6" max="6" width="10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>
        <v>1</v>
      </c>
      <c r="B5" s="5"/>
      <c r="C5" s="6"/>
      <c r="D5" s="7">
        <f>IFERROR(C5/SUM($C$5:$C$34),"")</f>
      </c>
      <c r="E5" s="7">
        <f>IFERROR(SUM($D$5:D5),"")</f>
      </c>
      <c r="F5" s="8">
        <f>IF(C5="","",IF(E5&lt;=0.8,"A",IF(E5&lt;=0.95,"B","C")))</f>
      </c>
      <c r="G5" s="9">
        <f>IF(F5="A","Producto del hoy — proteger, rentabilizar, expandir",IF(F5="B","Transicional — evaluar conversión a A o descartar",IF(F5="C","Problema o residuo — candidato a abandono planificado","")))</f>
      </c>
    </row>
    <row r="6" ht="22" customHeight="1" spans="1:7" x14ac:dyDescent="0.25">
      <c r="A6" s="4">
        <v>2</v>
      </c>
      <c r="B6" s="5"/>
      <c r="C6" s="6"/>
      <c r="D6" s="7">
        <f>IFERROR(C6/SUM($C$5:$C$34),"")</f>
      </c>
      <c r="E6" s="7">
        <f>IFERROR(SUM($D$5:D6),"")</f>
      </c>
      <c r="F6" s="8">
        <f>IF(C6="","",IF(E6&lt;=0.8,"A",IF(E6&lt;=0.95,"B","C")))</f>
      </c>
      <c r="G6" s="9">
        <f>IF(F6="A","Producto del hoy — proteger, rentabilizar, expandir",IF(F6="B","Transicional — evaluar conversión a A o descartar",IF(F6="C","Problema o residuo — candidato a abandono planificado","")))</f>
      </c>
    </row>
    <row r="7" ht="22" customHeight="1" spans="1:7" x14ac:dyDescent="0.25">
      <c r="A7" s="4">
        <v>3</v>
      </c>
      <c r="B7" s="5"/>
      <c r="C7" s="6"/>
      <c r="D7" s="7">
        <f>IFERROR(C7/SUM($C$5:$C$34),"")</f>
      </c>
      <c r="E7" s="7">
        <f>IFERROR(SUM($D$5:D7),"")</f>
      </c>
      <c r="F7" s="8">
        <f>IF(C7="","",IF(E7&lt;=0.8,"A",IF(E7&lt;=0.95,"B","C")))</f>
      </c>
      <c r="G7" s="9">
        <f>IF(F7="A","Producto del hoy — proteger, rentabilizar, expandir",IF(F7="B","Transicional — evaluar conversión a A o descartar",IF(F7="C","Problema o residuo — candidato a abandono planificado","")))</f>
      </c>
    </row>
    <row r="8" ht="22" customHeight="1" spans="1:7" x14ac:dyDescent="0.25">
      <c r="A8" s="4">
        <v>4</v>
      </c>
      <c r="B8" s="5"/>
      <c r="C8" s="6"/>
      <c r="D8" s="7">
        <f>IFERROR(C8/SUM($C$5:$C$34),"")</f>
      </c>
      <c r="E8" s="7">
        <f>IFERROR(SUM($D$5:D8),"")</f>
      </c>
      <c r="F8" s="8">
        <f>IF(C8="","",IF(E8&lt;=0.8,"A",IF(E8&lt;=0.95,"B","C")))</f>
      </c>
      <c r="G8" s="9">
        <f>IF(F8="A","Producto del hoy — proteger, rentabilizar, expandir",IF(F8="B","Transicional — evaluar conversión a A o descartar",IF(F8="C","Problema o residuo — candidato a abandono planificado","")))</f>
      </c>
    </row>
    <row r="9" ht="22" customHeight="1" spans="1:7" x14ac:dyDescent="0.25">
      <c r="A9" s="4">
        <v>5</v>
      </c>
      <c r="B9" s="5"/>
      <c r="C9" s="6"/>
      <c r="D9" s="7">
        <f>IFERROR(C9/SUM($C$5:$C$34),"")</f>
      </c>
      <c r="E9" s="7">
        <f>IFERROR(SUM($D$5:D9),"")</f>
      </c>
      <c r="F9" s="8">
        <f>IF(C9="","",IF(E9&lt;=0.8,"A",IF(E9&lt;=0.95,"B","C")))</f>
      </c>
      <c r="G9" s="9">
        <f>IF(F9="A","Producto del hoy — proteger, rentabilizar, expandir",IF(F9="B","Transicional — evaluar conversión a A o descartar",IF(F9="C","Problema o residuo — candidato a abandono planificado","")))</f>
      </c>
    </row>
    <row r="10" ht="22" customHeight="1" spans="1:7" x14ac:dyDescent="0.25">
      <c r="A10" s="4">
        <v>6</v>
      </c>
      <c r="B10" s="5"/>
      <c r="C10" s="6"/>
      <c r="D10" s="7">
        <f>IFERROR(C10/SUM($C$5:$C$34),"")</f>
      </c>
      <c r="E10" s="7">
        <f>IFERROR(SUM($D$5:D10),"")</f>
      </c>
      <c r="F10" s="8">
        <f>IF(C10="","",IF(E10&lt;=0.8,"A",IF(E10&lt;=0.95,"B","C")))</f>
      </c>
      <c r="G10" s="9">
        <f>IF(F10="A","Producto del hoy — proteger, rentabilizar, expandir",IF(F10="B","Transicional — evaluar conversión a A o descartar",IF(F10="C","Problema o residuo — candidato a abandono planificado","")))</f>
      </c>
    </row>
    <row r="11" ht="22" customHeight="1" spans="1:7" x14ac:dyDescent="0.25">
      <c r="A11" s="4">
        <v>7</v>
      </c>
      <c r="B11" s="5"/>
      <c r="C11" s="6"/>
      <c r="D11" s="7">
        <f>IFERROR(C11/SUM($C$5:$C$34),"")</f>
      </c>
      <c r="E11" s="7">
        <f>IFERROR(SUM($D$5:D11),"")</f>
      </c>
      <c r="F11" s="8">
        <f>IF(C11="","",IF(E11&lt;=0.8,"A",IF(E11&lt;=0.95,"B","C")))</f>
      </c>
      <c r="G11" s="9">
        <f>IF(F11="A","Producto del hoy — proteger, rentabilizar, expandir",IF(F11="B","Transicional — evaluar conversión a A o descartar",IF(F11="C","Problema o residuo — candidato a abandono planificado","")))</f>
      </c>
    </row>
    <row r="12" ht="22" customHeight="1" spans="1:7" x14ac:dyDescent="0.25">
      <c r="A12" s="4">
        <v>8</v>
      </c>
      <c r="B12" s="5"/>
      <c r="C12" s="6"/>
      <c r="D12" s="7">
        <f>IFERROR(C12/SUM($C$5:$C$34),"")</f>
      </c>
      <c r="E12" s="7">
        <f>IFERROR(SUM($D$5:D12),"")</f>
      </c>
      <c r="F12" s="8">
        <f>IF(C12="","",IF(E12&lt;=0.8,"A",IF(E12&lt;=0.95,"B","C")))</f>
      </c>
      <c r="G12" s="9">
        <f>IF(F12="A","Producto del hoy — proteger, rentabilizar, expandir",IF(F12="B","Transicional — evaluar conversión a A o descartar",IF(F12="C","Problema o residuo — candidato a abandono planificado","")))</f>
      </c>
    </row>
    <row r="13" ht="22" customHeight="1" spans="1:7" x14ac:dyDescent="0.25">
      <c r="A13" s="4">
        <v>9</v>
      </c>
      <c r="B13" s="5"/>
      <c r="C13" s="6"/>
      <c r="D13" s="7">
        <f>IFERROR(C13/SUM($C$5:$C$34),"")</f>
      </c>
      <c r="E13" s="7">
        <f>IFERROR(SUM($D$5:D13),"")</f>
      </c>
      <c r="F13" s="8">
        <f>IF(C13="","",IF(E13&lt;=0.8,"A",IF(E13&lt;=0.95,"B","C")))</f>
      </c>
      <c r="G13" s="9">
        <f>IF(F13="A","Producto del hoy — proteger, rentabilizar, expandir",IF(F13="B","Transicional — evaluar conversión a A o descartar",IF(F13="C","Problema o residuo — candidato a abandono planificado","")))</f>
      </c>
    </row>
    <row r="14" ht="22" customHeight="1" spans="1:7" x14ac:dyDescent="0.25">
      <c r="A14" s="4">
        <v>10</v>
      </c>
      <c r="B14" s="5"/>
      <c r="C14" s="6"/>
      <c r="D14" s="7">
        <f>IFERROR(C14/SUM($C$5:$C$34),"")</f>
      </c>
      <c r="E14" s="7">
        <f>IFERROR(SUM($D$5:D14),"")</f>
      </c>
      <c r="F14" s="8">
        <f>IF(C14="","",IF(E14&lt;=0.8,"A",IF(E14&lt;=0.95,"B","C")))</f>
      </c>
      <c r="G14" s="9">
        <f>IF(F14="A","Producto del hoy — proteger, rentabilizar, expandir",IF(F14="B","Transicional — evaluar conversión a A o descartar",IF(F14="C","Problema o residuo — candidato a abandono planificado","")))</f>
      </c>
    </row>
    <row r="15" ht="22" customHeight="1" spans="1:7" x14ac:dyDescent="0.25">
      <c r="A15" s="4">
        <v>11</v>
      </c>
      <c r="B15" s="5"/>
      <c r="C15" s="6"/>
      <c r="D15" s="7">
        <f>IFERROR(C15/SUM($C$5:$C$34),"")</f>
      </c>
      <c r="E15" s="7">
        <f>IFERROR(SUM($D$5:D15),"")</f>
      </c>
      <c r="F15" s="8">
        <f>IF(C15="","",IF(E15&lt;=0.8,"A",IF(E15&lt;=0.95,"B","C")))</f>
      </c>
      <c r="G15" s="9">
        <f>IF(F15="A","Producto del hoy — proteger, rentabilizar, expandir",IF(F15="B","Transicional — evaluar conversión a A o descartar",IF(F15="C","Problema o residuo — candidato a abandono planificado","")))</f>
      </c>
    </row>
    <row r="16" ht="22" customHeight="1" spans="1:7" x14ac:dyDescent="0.25">
      <c r="A16" s="4">
        <v>12</v>
      </c>
      <c r="B16" s="5"/>
      <c r="C16" s="6"/>
      <c r="D16" s="7">
        <f>IFERROR(C16/SUM($C$5:$C$34),"")</f>
      </c>
      <c r="E16" s="7">
        <f>IFERROR(SUM($D$5:D16),"")</f>
      </c>
      <c r="F16" s="8">
        <f>IF(C16="","",IF(E16&lt;=0.8,"A",IF(E16&lt;=0.95,"B","C")))</f>
      </c>
      <c r="G16" s="9">
        <f>IF(F16="A","Producto del hoy — proteger, rentabilizar, expandir",IF(F16="B","Transicional — evaluar conversión a A o descartar",IF(F16="C","Problema o residuo — candidato a abandono planificado","")))</f>
      </c>
    </row>
    <row r="17" ht="22" customHeight="1" spans="1:7" x14ac:dyDescent="0.25">
      <c r="A17" s="4">
        <v>13</v>
      </c>
      <c r="B17" s="5"/>
      <c r="C17" s="6"/>
      <c r="D17" s="7">
        <f>IFERROR(C17/SUM($C$5:$C$34),"")</f>
      </c>
      <c r="E17" s="7">
        <f>IFERROR(SUM($D$5:D17),"")</f>
      </c>
      <c r="F17" s="8">
        <f>IF(C17="","",IF(E17&lt;=0.8,"A",IF(E17&lt;=0.95,"B","C")))</f>
      </c>
      <c r="G17" s="9">
        <f>IF(F17="A","Producto del hoy — proteger, rentabilizar, expandir",IF(F17="B","Transicional — evaluar conversión a A o descartar",IF(F17="C","Problema o residuo — candidato a abandono planificado","")))</f>
      </c>
    </row>
    <row r="18" ht="22" customHeight="1" spans="1:7" x14ac:dyDescent="0.25">
      <c r="A18" s="4">
        <v>14</v>
      </c>
      <c r="B18" s="5"/>
      <c r="C18" s="6"/>
      <c r="D18" s="7">
        <f>IFERROR(C18/SUM($C$5:$C$34),"")</f>
      </c>
      <c r="E18" s="7">
        <f>IFERROR(SUM($D$5:D18),"")</f>
      </c>
      <c r="F18" s="8">
        <f>IF(C18="","",IF(E18&lt;=0.8,"A",IF(E18&lt;=0.95,"B","C")))</f>
      </c>
      <c r="G18" s="9">
        <f>IF(F18="A","Producto del hoy — proteger, rentabilizar, expandir",IF(F18="B","Transicional — evaluar conversión a A o descartar",IF(F18="C","Problema o residuo — candidato a abandono planificado","")))</f>
      </c>
    </row>
    <row r="19" ht="22" customHeight="1" spans="1:7" x14ac:dyDescent="0.25">
      <c r="A19" s="4">
        <v>15</v>
      </c>
      <c r="B19" s="5"/>
      <c r="C19" s="6"/>
      <c r="D19" s="7">
        <f>IFERROR(C19/SUM($C$5:$C$34),"")</f>
      </c>
      <c r="E19" s="7">
        <f>IFERROR(SUM($D$5:D19),"")</f>
      </c>
      <c r="F19" s="8">
        <f>IF(C19="","",IF(E19&lt;=0.8,"A",IF(E19&lt;=0.95,"B","C")))</f>
      </c>
      <c r="G19" s="9">
        <f>IF(F19="A","Producto del hoy — proteger, rentabilizar, expandir",IF(F19="B","Transicional — evaluar conversión a A o descartar",IF(F19="C","Problema o residuo — candidato a abandono planificado","")))</f>
      </c>
    </row>
    <row r="20" ht="22" customHeight="1" spans="1:7" x14ac:dyDescent="0.25">
      <c r="A20" s="4">
        <v>16</v>
      </c>
      <c r="B20" s="5"/>
      <c r="C20" s="6"/>
      <c r="D20" s="7">
        <f>IFERROR(C20/SUM($C$5:$C$34),"")</f>
      </c>
      <c r="E20" s="7">
        <f>IFERROR(SUM($D$5:D20),"")</f>
      </c>
      <c r="F20" s="8">
        <f>IF(C20="","",IF(E20&lt;=0.8,"A",IF(E20&lt;=0.95,"B","C")))</f>
      </c>
      <c r="G20" s="9">
        <f>IF(F20="A","Producto del hoy — proteger, rentabilizar, expandir",IF(F20="B","Transicional — evaluar conversión a A o descartar",IF(F20="C","Problema o residuo — candidato a abandono planificado","")))</f>
      </c>
    </row>
    <row r="21" ht="22" customHeight="1" spans="1:7" x14ac:dyDescent="0.25">
      <c r="A21" s="4">
        <v>17</v>
      </c>
      <c r="B21" s="5"/>
      <c r="C21" s="6"/>
      <c r="D21" s="7">
        <f>IFERROR(C21/SUM($C$5:$C$34),"")</f>
      </c>
      <c r="E21" s="7">
        <f>IFERROR(SUM($D$5:D21),"")</f>
      </c>
      <c r="F21" s="8">
        <f>IF(C21="","",IF(E21&lt;=0.8,"A",IF(E21&lt;=0.95,"B","C")))</f>
      </c>
      <c r="G21" s="9">
        <f>IF(F21="A","Producto del hoy — proteger, rentabilizar, expandir",IF(F21="B","Transicional — evaluar conversión a A o descartar",IF(F21="C","Problema o residuo — candidato a abandono planificado","")))</f>
      </c>
    </row>
    <row r="22" ht="22" customHeight="1" spans="1:7" x14ac:dyDescent="0.25">
      <c r="A22" s="4">
        <v>18</v>
      </c>
      <c r="B22" s="5"/>
      <c r="C22" s="6"/>
      <c r="D22" s="7">
        <f>IFERROR(C22/SUM($C$5:$C$34),"")</f>
      </c>
      <c r="E22" s="7">
        <f>IFERROR(SUM($D$5:D22),"")</f>
      </c>
      <c r="F22" s="8">
        <f>IF(C22="","",IF(E22&lt;=0.8,"A",IF(E22&lt;=0.95,"B","C")))</f>
      </c>
      <c r="G22" s="9">
        <f>IF(F22="A","Producto del hoy — proteger, rentabilizar, expandir",IF(F22="B","Transicional — evaluar conversión a A o descartar",IF(F22="C","Problema o residuo — candidato a abandono planificado","")))</f>
      </c>
    </row>
    <row r="23" ht="22" customHeight="1" spans="1:7" x14ac:dyDescent="0.25">
      <c r="A23" s="4">
        <v>19</v>
      </c>
      <c r="B23" s="5"/>
      <c r="C23" s="6"/>
      <c r="D23" s="7">
        <f>IFERROR(C23/SUM($C$5:$C$34),"")</f>
      </c>
      <c r="E23" s="7">
        <f>IFERROR(SUM($D$5:D23),"")</f>
      </c>
      <c r="F23" s="8">
        <f>IF(C23="","",IF(E23&lt;=0.8,"A",IF(E23&lt;=0.95,"B","C")))</f>
      </c>
      <c r="G23" s="9">
        <f>IF(F23="A","Producto del hoy — proteger, rentabilizar, expandir",IF(F23="B","Transicional — evaluar conversión a A o descartar",IF(F23="C","Problema o residuo — candidato a abandono planificado","")))</f>
      </c>
    </row>
    <row r="24" ht="22" customHeight="1" spans="1:7" x14ac:dyDescent="0.25">
      <c r="A24" s="4">
        <v>20</v>
      </c>
      <c r="B24" s="5"/>
      <c r="C24" s="6"/>
      <c r="D24" s="7">
        <f>IFERROR(C24/SUM($C$5:$C$34),"")</f>
      </c>
      <c r="E24" s="7">
        <f>IFERROR(SUM($D$5:D24),"")</f>
      </c>
      <c r="F24" s="8">
        <f>IF(C24="","",IF(E24&lt;=0.8,"A",IF(E24&lt;=0.95,"B","C")))</f>
      </c>
      <c r="G24" s="9">
        <f>IF(F24="A","Producto del hoy — proteger, rentabilizar, expandir",IF(F24="B","Transicional — evaluar conversión a A o descartar",IF(F24="C","Problema o residuo — candidato a abandono planificado","")))</f>
      </c>
    </row>
    <row r="25" ht="22" customHeight="1" spans="1:7" x14ac:dyDescent="0.25">
      <c r="A25" s="4">
        <v>21</v>
      </c>
      <c r="B25" s="5"/>
      <c r="C25" s="6"/>
      <c r="D25" s="7">
        <f>IFERROR(C25/SUM($C$5:$C$34),"")</f>
      </c>
      <c r="E25" s="7">
        <f>IFERROR(SUM($D$5:D25),"")</f>
      </c>
      <c r="F25" s="8">
        <f>IF(C25="","",IF(E25&lt;=0.8,"A",IF(E25&lt;=0.95,"B","C")))</f>
      </c>
      <c r="G25" s="9">
        <f>IF(F25="A","Producto del hoy — proteger, rentabilizar, expandir",IF(F25="B","Transicional — evaluar conversión a A o descartar",IF(F25="C","Problema o residuo — candidato a abandono planificado","")))</f>
      </c>
    </row>
    <row r="26" ht="22" customHeight="1" spans="1:7" x14ac:dyDescent="0.25">
      <c r="A26" s="4">
        <v>22</v>
      </c>
      <c r="B26" s="5"/>
      <c r="C26" s="6"/>
      <c r="D26" s="7">
        <f>IFERROR(C26/SUM($C$5:$C$34),"")</f>
      </c>
      <c r="E26" s="7">
        <f>IFERROR(SUM($D$5:D26),"")</f>
      </c>
      <c r="F26" s="8">
        <f>IF(C26="","",IF(E26&lt;=0.8,"A",IF(E26&lt;=0.95,"B","C")))</f>
      </c>
      <c r="G26" s="9">
        <f>IF(F26="A","Producto del hoy — proteger, rentabilizar, expandir",IF(F26="B","Transicional — evaluar conversión a A o descartar",IF(F26="C","Problema o residuo — candidato a abandono planificado","")))</f>
      </c>
    </row>
    <row r="27" ht="22" customHeight="1" spans="1:7" x14ac:dyDescent="0.25">
      <c r="A27" s="4">
        <v>23</v>
      </c>
      <c r="B27" s="5"/>
      <c r="C27" s="6"/>
      <c r="D27" s="7">
        <f>IFERROR(C27/SUM($C$5:$C$34),"")</f>
      </c>
      <c r="E27" s="7">
        <f>IFERROR(SUM($D$5:D27),"")</f>
      </c>
      <c r="F27" s="8">
        <f>IF(C27="","",IF(E27&lt;=0.8,"A",IF(E27&lt;=0.95,"B","C")))</f>
      </c>
      <c r="G27" s="9">
        <f>IF(F27="A","Producto del hoy — proteger, rentabilizar, expandir",IF(F27="B","Transicional — evaluar conversión a A o descartar",IF(F27="C","Problema o residuo — candidato a abandono planificado","")))</f>
      </c>
    </row>
    <row r="28" ht="22" customHeight="1" spans="1:7" x14ac:dyDescent="0.25">
      <c r="A28" s="4">
        <v>24</v>
      </c>
      <c r="B28" s="5"/>
      <c r="C28" s="6"/>
      <c r="D28" s="7">
        <f>IFERROR(C28/SUM($C$5:$C$34),"")</f>
      </c>
      <c r="E28" s="7">
        <f>IFERROR(SUM($D$5:D28),"")</f>
      </c>
      <c r="F28" s="8">
        <f>IF(C28="","",IF(E28&lt;=0.8,"A",IF(E28&lt;=0.95,"B","C")))</f>
      </c>
      <c r="G28" s="9">
        <f>IF(F28="A","Producto del hoy — proteger, rentabilizar, expandir",IF(F28="B","Transicional — evaluar conversión a A o descartar",IF(F28="C","Problema o residuo — candidato a abandono planificado","")))</f>
      </c>
    </row>
    <row r="29" ht="22" customHeight="1" spans="1:7" x14ac:dyDescent="0.25">
      <c r="A29" s="4">
        <v>25</v>
      </c>
      <c r="B29" s="5"/>
      <c r="C29" s="6"/>
      <c r="D29" s="7">
        <f>IFERROR(C29/SUM($C$5:$C$34),"")</f>
      </c>
      <c r="E29" s="7">
        <f>IFERROR(SUM($D$5:D29),"")</f>
      </c>
      <c r="F29" s="8">
        <f>IF(C29="","",IF(E29&lt;=0.8,"A",IF(E29&lt;=0.95,"B","C")))</f>
      </c>
      <c r="G29" s="9">
        <f>IF(F29="A","Producto del hoy — proteger, rentabilizar, expandir",IF(F29="B","Transicional — evaluar conversión a A o descartar",IF(F29="C","Problema o residuo — candidato a abandono planificado","")))</f>
      </c>
    </row>
    <row r="30" ht="22" customHeight="1" spans="1:7" x14ac:dyDescent="0.25">
      <c r="A30" s="4">
        <v>26</v>
      </c>
      <c r="B30" s="5"/>
      <c r="C30" s="6"/>
      <c r="D30" s="7">
        <f>IFERROR(C30/SUM($C$5:$C$34),"")</f>
      </c>
      <c r="E30" s="7">
        <f>IFERROR(SUM($D$5:D30),"")</f>
      </c>
      <c r="F30" s="8">
        <f>IF(C30="","",IF(E30&lt;=0.8,"A",IF(E30&lt;=0.95,"B","C")))</f>
      </c>
      <c r="G30" s="9">
        <f>IF(F30="A","Producto del hoy — proteger, rentabilizar, expandir",IF(F30="B","Transicional — evaluar conversión a A o descartar",IF(F30="C","Problema o residuo — candidato a abandono planificado","")))</f>
      </c>
    </row>
    <row r="31" ht="22" customHeight="1" spans="1:7" x14ac:dyDescent="0.25">
      <c r="A31" s="4">
        <v>27</v>
      </c>
      <c r="B31" s="5"/>
      <c r="C31" s="6"/>
      <c r="D31" s="7">
        <f>IFERROR(C31/SUM($C$5:$C$34),"")</f>
      </c>
      <c r="E31" s="7">
        <f>IFERROR(SUM($D$5:D31),"")</f>
      </c>
      <c r="F31" s="8">
        <f>IF(C31="","",IF(E31&lt;=0.8,"A",IF(E31&lt;=0.95,"B","C")))</f>
      </c>
      <c r="G31" s="9">
        <f>IF(F31="A","Producto del hoy — proteger, rentabilizar, expandir",IF(F31="B","Transicional — evaluar conversión a A o descartar",IF(F31="C","Problema o residuo — candidato a abandono planificado","")))</f>
      </c>
    </row>
    <row r="32" ht="22" customHeight="1" spans="1:7" x14ac:dyDescent="0.25">
      <c r="A32" s="4">
        <v>28</v>
      </c>
      <c r="B32" s="5"/>
      <c r="C32" s="6"/>
      <c r="D32" s="7">
        <f>IFERROR(C32/SUM($C$5:$C$34),"")</f>
      </c>
      <c r="E32" s="7">
        <f>IFERROR(SUM($D$5:D32),"")</f>
      </c>
      <c r="F32" s="8">
        <f>IF(C32="","",IF(E32&lt;=0.8,"A",IF(E32&lt;=0.95,"B","C")))</f>
      </c>
      <c r="G32" s="9">
        <f>IF(F32="A","Producto del hoy — proteger, rentabilizar, expandir",IF(F32="B","Transicional — evaluar conversión a A o descartar",IF(F32="C","Problema o residuo — candidato a abandono planificado","")))</f>
      </c>
    </row>
    <row r="33" ht="22" customHeight="1" spans="1:7" x14ac:dyDescent="0.25">
      <c r="A33" s="4">
        <v>29</v>
      </c>
      <c r="B33" s="5"/>
      <c r="C33" s="6"/>
      <c r="D33" s="7">
        <f>IFERROR(C33/SUM($C$5:$C$34),"")</f>
      </c>
      <c r="E33" s="7">
        <f>IFERROR(SUM($D$5:D33),"")</f>
      </c>
      <c r="F33" s="8">
        <f>IF(C33="","",IF(E33&lt;=0.8,"A",IF(E33&lt;=0.95,"B","C")))</f>
      </c>
      <c r="G33" s="9">
        <f>IF(F33="A","Producto del hoy — proteger, rentabilizar, expandir",IF(F33="B","Transicional — evaluar conversión a A o descartar",IF(F33="C","Problema o residuo — candidato a abandono planificado","")))</f>
      </c>
    </row>
    <row r="34" ht="22" customHeight="1" spans="1:7" x14ac:dyDescent="0.25">
      <c r="A34" s="4">
        <v>30</v>
      </c>
      <c r="B34" s="5"/>
      <c r="C34" s="6"/>
      <c r="D34" s="7">
        <f>IFERROR(C34/SUM($C$5:$C$34),"")</f>
      </c>
      <c r="E34" s="7">
        <f>IFERROR(SUM($D$5:D34),"")</f>
      </c>
      <c r="F34" s="8">
        <f>IF(C34="","",IF(E34&lt;=0.8,"A",IF(E34&lt;=0.95,"B","C")))</f>
      </c>
      <c r="G34" s="9">
        <f>IF(F34="A","Producto del hoy — proteger, rentabilizar, expandir",IF(F34="B","Transicional — evaluar conversión a A o descartar",IF(F34="C","Problema o residuo — candidato a abandono planificado","")))</f>
      </c>
    </row>
    <row r="36" spans="2:3" x14ac:dyDescent="0.25">
      <c r="B36" s="10" t="s">
        <v>9</v>
      </c>
      <c r="C36" s="11">
        <f>SUM(C5:C34)</f>
      </c>
    </row>
    <row r="39" spans="1:7" x14ac:dyDescent="0.25">
      <c r="A39" s="12" t="s">
        <v>10</v>
      </c>
      <c r="B39" s="12"/>
      <c r="C39" s="12"/>
      <c r="D39" s="12"/>
      <c r="E39" s="12"/>
      <c r="F39" s="12"/>
      <c r="G39" s="12"/>
    </row>
    <row r="40" spans="1:7" x14ac:dyDescent="0.25">
      <c r="A40" s="13" t="s">
        <v>11</v>
      </c>
      <c r="B40" s="13"/>
      <c r="C40" s="13"/>
      <c r="D40" s="13"/>
      <c r="E40" s="13"/>
      <c r="F40" s="13"/>
      <c r="G40" s="13"/>
    </row>
    <row r="41" spans="1:7" x14ac:dyDescent="0.25">
      <c r="A41" s="13" t="s">
        <v>12</v>
      </c>
      <c r="B41" s="13"/>
      <c r="C41" s="13"/>
      <c r="D41" s="13"/>
      <c r="E41" s="13"/>
      <c r="F41" s="13"/>
      <c r="G41" s="13"/>
    </row>
    <row r="42" spans="1:7" x14ac:dyDescent="0.25">
      <c r="A42" s="13" t="s">
        <v>13</v>
      </c>
      <c r="B42" s="13"/>
      <c r="C42" s="13"/>
      <c r="D42" s="13"/>
      <c r="E42" s="13"/>
      <c r="F42" s="13"/>
      <c r="G42" s="13"/>
    </row>
    <row r="43" spans="1:7" x14ac:dyDescent="0.25">
      <c r="A43" s="13" t="s">
        <v>14</v>
      </c>
      <c r="B43" s="13"/>
      <c r="C43" s="13"/>
      <c r="D43" s="13"/>
      <c r="E43" s="13"/>
      <c r="F43" s="13"/>
      <c r="G43" s="13"/>
    </row>
    <row r="44" spans="1:7" x14ac:dyDescent="0.25">
      <c r="A44" s="13" t="s">
        <v>15</v>
      </c>
      <c r="B44" s="13"/>
      <c r="C44" s="13"/>
      <c r="D44" s="13"/>
      <c r="E44" s="13"/>
      <c r="F44" s="13"/>
      <c r="G44" s="13"/>
    </row>
    <row r="45" spans="1:7" x14ac:dyDescent="0.25">
      <c r="A45" s="13" t="s">
        <v>16</v>
      </c>
      <c r="B45" s="13"/>
      <c r="C45" s="13"/>
      <c r="D45" s="13"/>
      <c r="E45" s="13"/>
      <c r="F45" s="13"/>
      <c r="G45" s="13"/>
    </row>
    <row r="46" spans="1:7" x14ac:dyDescent="0.25">
      <c r="A46" s="13" t="s">
        <v>17</v>
      </c>
      <c r="B46" s="13"/>
      <c r="C46" s="13"/>
      <c r="D46" s="13"/>
      <c r="E46" s="13"/>
      <c r="F46" s="13"/>
      <c r="G46" s="13"/>
    </row>
  </sheetData>
  <mergeCells count="10">
    <mergeCell ref="A1:G1"/>
    <mergeCell ref="A2:G2"/>
    <mergeCell ref="A39:G39"/>
    <mergeCell ref="A40:G40"/>
    <mergeCell ref="A41:G41"/>
    <mergeCell ref="A42:G42"/>
    <mergeCell ref="A43:G43"/>
    <mergeCell ref="A44:G44"/>
    <mergeCell ref="A45:G45"/>
    <mergeCell ref="A46:G46"/>
  </mergeCells>
  <conditionalFormatting sqref="A5:G34">
    <cfRule type="expression" dxfId="0" priority="1">
      <formula>$F5="A"</formula>
    </cfRule>
    <cfRule type="expression" dxfId="1" priority="2">
      <formula>$F5="B"</formula>
    </cfRule>
    <cfRule type="expression" dxfId="2" priority="3">
      <formula>$F5="C"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18" customWidth="1"/>
    <col min="4" max="4" width="12" customWidth="1"/>
    <col min="5" max="5" width="14" customWidth="1"/>
    <col min="6" max="6" width="10" customWidth="1"/>
    <col min="7" max="7" width="40" customWidth="1"/>
  </cols>
  <sheetData>
    <row r="1" ht="28" customHeight="1" spans="1:7" x14ac:dyDescent="0.25">
      <c r="A1" s="1" t="s">
        <v>18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19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>
        <v>1</v>
      </c>
      <c r="B5" s="5"/>
      <c r="C5" s="6"/>
      <c r="D5" s="7">
        <f>IFERROR(C5/SUM($C$5:$C$34),"")</f>
      </c>
      <c r="E5" s="7">
        <f>IFERROR(SUM($D$5:D5),"")</f>
      </c>
      <c r="F5" s="8">
        <f>IF(C5="","",IF(E5&lt;=0.8,"A",IF(E5&lt;=0.95,"B","C")))</f>
      </c>
      <c r="G5" s="9">
        <f>IF(F5="A","Producto del hoy — proteger, rentabilizar, expandir",IF(F5="B","Transicional — evaluar conversión a A o descartar",IF(F5="C","Problema o residuo — candidato a abandono planificado","")))</f>
      </c>
    </row>
    <row r="6" ht="22" customHeight="1" spans="1:7" x14ac:dyDescent="0.25">
      <c r="A6" s="4">
        <v>2</v>
      </c>
      <c r="B6" s="5"/>
      <c r="C6" s="6"/>
      <c r="D6" s="7">
        <f>IFERROR(C6/SUM($C$5:$C$34),"")</f>
      </c>
      <c r="E6" s="7">
        <f>IFERROR(SUM($D$5:D6),"")</f>
      </c>
      <c r="F6" s="8">
        <f>IF(C6="","",IF(E6&lt;=0.8,"A",IF(E6&lt;=0.95,"B","C")))</f>
      </c>
      <c r="G6" s="9">
        <f>IF(F6="A","Producto del hoy — proteger, rentabilizar, expandir",IF(F6="B","Transicional — evaluar conversión a A o descartar",IF(F6="C","Problema o residuo — candidato a abandono planificado","")))</f>
      </c>
    </row>
    <row r="7" ht="22" customHeight="1" spans="1:7" x14ac:dyDescent="0.25">
      <c r="A7" s="4">
        <v>3</v>
      </c>
      <c r="B7" s="5"/>
      <c r="C7" s="6"/>
      <c r="D7" s="7">
        <f>IFERROR(C7/SUM($C$5:$C$34),"")</f>
      </c>
      <c r="E7" s="7">
        <f>IFERROR(SUM($D$5:D7),"")</f>
      </c>
      <c r="F7" s="8">
        <f>IF(C7="","",IF(E7&lt;=0.8,"A",IF(E7&lt;=0.95,"B","C")))</f>
      </c>
      <c r="G7" s="9">
        <f>IF(F7="A","Producto del hoy — proteger, rentabilizar, expandir",IF(F7="B","Transicional — evaluar conversión a A o descartar",IF(F7="C","Problema o residuo — candidato a abandono planificado","")))</f>
      </c>
    </row>
    <row r="8" ht="22" customHeight="1" spans="1:7" x14ac:dyDescent="0.25">
      <c r="A8" s="4">
        <v>4</v>
      </c>
      <c r="B8" s="5"/>
      <c r="C8" s="6"/>
      <c r="D8" s="7">
        <f>IFERROR(C8/SUM($C$5:$C$34),"")</f>
      </c>
      <c r="E8" s="7">
        <f>IFERROR(SUM($D$5:D8),"")</f>
      </c>
      <c r="F8" s="8">
        <f>IF(C8="","",IF(E8&lt;=0.8,"A",IF(E8&lt;=0.95,"B","C")))</f>
      </c>
      <c r="G8" s="9">
        <f>IF(F8="A","Producto del hoy — proteger, rentabilizar, expandir",IF(F8="B","Transicional — evaluar conversión a A o descartar",IF(F8="C","Problema o residuo — candidato a abandono planificado","")))</f>
      </c>
    </row>
    <row r="9" ht="22" customHeight="1" spans="1:7" x14ac:dyDescent="0.25">
      <c r="A9" s="4">
        <v>5</v>
      </c>
      <c r="B9" s="5"/>
      <c r="C9" s="6"/>
      <c r="D9" s="7">
        <f>IFERROR(C9/SUM($C$5:$C$34),"")</f>
      </c>
      <c r="E9" s="7">
        <f>IFERROR(SUM($D$5:D9),"")</f>
      </c>
      <c r="F9" s="8">
        <f>IF(C9="","",IF(E9&lt;=0.8,"A",IF(E9&lt;=0.95,"B","C")))</f>
      </c>
      <c r="G9" s="9">
        <f>IF(F9="A","Producto del hoy — proteger, rentabilizar, expandir",IF(F9="B","Transicional — evaluar conversión a A o descartar",IF(F9="C","Problema o residuo — candidato a abandono planificado","")))</f>
      </c>
    </row>
    <row r="10" ht="22" customHeight="1" spans="1:7" x14ac:dyDescent="0.25">
      <c r="A10" s="4">
        <v>6</v>
      </c>
      <c r="B10" s="5"/>
      <c r="C10" s="6"/>
      <c r="D10" s="7">
        <f>IFERROR(C10/SUM($C$5:$C$34),"")</f>
      </c>
      <c r="E10" s="7">
        <f>IFERROR(SUM($D$5:D10),"")</f>
      </c>
      <c r="F10" s="8">
        <f>IF(C10="","",IF(E10&lt;=0.8,"A",IF(E10&lt;=0.95,"B","C")))</f>
      </c>
      <c r="G10" s="9">
        <f>IF(F10="A","Producto del hoy — proteger, rentabilizar, expandir",IF(F10="B","Transicional — evaluar conversión a A o descartar",IF(F10="C","Problema o residuo — candidato a abandono planificado","")))</f>
      </c>
    </row>
    <row r="11" ht="22" customHeight="1" spans="1:7" x14ac:dyDescent="0.25">
      <c r="A11" s="4">
        <v>7</v>
      </c>
      <c r="B11" s="5"/>
      <c r="C11" s="6"/>
      <c r="D11" s="7">
        <f>IFERROR(C11/SUM($C$5:$C$34),"")</f>
      </c>
      <c r="E11" s="7">
        <f>IFERROR(SUM($D$5:D11),"")</f>
      </c>
      <c r="F11" s="8">
        <f>IF(C11="","",IF(E11&lt;=0.8,"A",IF(E11&lt;=0.95,"B","C")))</f>
      </c>
      <c r="G11" s="9">
        <f>IF(F11="A","Producto del hoy — proteger, rentabilizar, expandir",IF(F11="B","Transicional — evaluar conversión a A o descartar",IF(F11="C","Problema o residuo — candidato a abandono planificado","")))</f>
      </c>
    </row>
    <row r="12" ht="22" customHeight="1" spans="1:7" x14ac:dyDescent="0.25">
      <c r="A12" s="4">
        <v>8</v>
      </c>
      <c r="B12" s="5"/>
      <c r="C12" s="6"/>
      <c r="D12" s="7">
        <f>IFERROR(C12/SUM($C$5:$C$34),"")</f>
      </c>
      <c r="E12" s="7">
        <f>IFERROR(SUM($D$5:D12),"")</f>
      </c>
      <c r="F12" s="8">
        <f>IF(C12="","",IF(E12&lt;=0.8,"A",IF(E12&lt;=0.95,"B","C")))</f>
      </c>
      <c r="G12" s="9">
        <f>IF(F12="A","Producto del hoy — proteger, rentabilizar, expandir",IF(F12="B","Transicional — evaluar conversión a A o descartar",IF(F12="C","Problema o residuo — candidato a abandono planificado","")))</f>
      </c>
    </row>
    <row r="13" ht="22" customHeight="1" spans="1:7" x14ac:dyDescent="0.25">
      <c r="A13" s="4">
        <v>9</v>
      </c>
      <c r="B13" s="5"/>
      <c r="C13" s="6"/>
      <c r="D13" s="7">
        <f>IFERROR(C13/SUM($C$5:$C$34),"")</f>
      </c>
      <c r="E13" s="7">
        <f>IFERROR(SUM($D$5:D13),"")</f>
      </c>
      <c r="F13" s="8">
        <f>IF(C13="","",IF(E13&lt;=0.8,"A",IF(E13&lt;=0.95,"B","C")))</f>
      </c>
      <c r="G13" s="9">
        <f>IF(F13="A","Producto del hoy — proteger, rentabilizar, expandir",IF(F13="B","Transicional — evaluar conversión a A o descartar",IF(F13="C","Problema o residuo — candidato a abandono planificado","")))</f>
      </c>
    </row>
    <row r="14" ht="22" customHeight="1" spans="1:7" x14ac:dyDescent="0.25">
      <c r="A14" s="4">
        <v>10</v>
      </c>
      <c r="B14" s="5"/>
      <c r="C14" s="6"/>
      <c r="D14" s="7">
        <f>IFERROR(C14/SUM($C$5:$C$34),"")</f>
      </c>
      <c r="E14" s="7">
        <f>IFERROR(SUM($D$5:D14),"")</f>
      </c>
      <c r="F14" s="8">
        <f>IF(C14="","",IF(E14&lt;=0.8,"A",IF(E14&lt;=0.95,"B","C")))</f>
      </c>
      <c r="G14" s="9">
        <f>IF(F14="A","Producto del hoy — proteger, rentabilizar, expandir",IF(F14="B","Transicional — evaluar conversión a A o descartar",IF(F14="C","Problema o residuo — candidato a abandono planificado","")))</f>
      </c>
    </row>
    <row r="15" ht="22" customHeight="1" spans="1:7" x14ac:dyDescent="0.25">
      <c r="A15" s="4">
        <v>11</v>
      </c>
      <c r="B15" s="5"/>
      <c r="C15" s="6"/>
      <c r="D15" s="7">
        <f>IFERROR(C15/SUM($C$5:$C$34),"")</f>
      </c>
      <c r="E15" s="7">
        <f>IFERROR(SUM($D$5:D15),"")</f>
      </c>
      <c r="F15" s="8">
        <f>IF(C15="","",IF(E15&lt;=0.8,"A",IF(E15&lt;=0.95,"B","C")))</f>
      </c>
      <c r="G15" s="9">
        <f>IF(F15="A","Producto del hoy — proteger, rentabilizar, expandir",IF(F15="B","Transicional — evaluar conversión a A o descartar",IF(F15="C","Problema o residuo — candidato a abandono planificado","")))</f>
      </c>
    </row>
    <row r="16" ht="22" customHeight="1" spans="1:7" x14ac:dyDescent="0.25">
      <c r="A16" s="4">
        <v>12</v>
      </c>
      <c r="B16" s="5"/>
      <c r="C16" s="6"/>
      <c r="D16" s="7">
        <f>IFERROR(C16/SUM($C$5:$C$34),"")</f>
      </c>
      <c r="E16" s="7">
        <f>IFERROR(SUM($D$5:D16),"")</f>
      </c>
      <c r="F16" s="8">
        <f>IF(C16="","",IF(E16&lt;=0.8,"A",IF(E16&lt;=0.95,"B","C")))</f>
      </c>
      <c r="G16" s="9">
        <f>IF(F16="A","Producto del hoy — proteger, rentabilizar, expandir",IF(F16="B","Transicional — evaluar conversión a A o descartar",IF(F16="C","Problema o residuo — candidato a abandono planificado","")))</f>
      </c>
    </row>
    <row r="17" ht="22" customHeight="1" spans="1:7" x14ac:dyDescent="0.25">
      <c r="A17" s="4">
        <v>13</v>
      </c>
      <c r="B17" s="5"/>
      <c r="C17" s="6"/>
      <c r="D17" s="7">
        <f>IFERROR(C17/SUM($C$5:$C$34),"")</f>
      </c>
      <c r="E17" s="7">
        <f>IFERROR(SUM($D$5:D17),"")</f>
      </c>
      <c r="F17" s="8">
        <f>IF(C17="","",IF(E17&lt;=0.8,"A",IF(E17&lt;=0.95,"B","C")))</f>
      </c>
      <c r="G17" s="9">
        <f>IF(F17="A","Producto del hoy — proteger, rentabilizar, expandir",IF(F17="B","Transicional — evaluar conversión a A o descartar",IF(F17="C","Problema o residuo — candidato a abandono planificado","")))</f>
      </c>
    </row>
    <row r="18" ht="22" customHeight="1" spans="1:7" x14ac:dyDescent="0.25">
      <c r="A18" s="4">
        <v>14</v>
      </c>
      <c r="B18" s="5"/>
      <c r="C18" s="6"/>
      <c r="D18" s="7">
        <f>IFERROR(C18/SUM($C$5:$C$34),"")</f>
      </c>
      <c r="E18" s="7">
        <f>IFERROR(SUM($D$5:D18),"")</f>
      </c>
      <c r="F18" s="8">
        <f>IF(C18="","",IF(E18&lt;=0.8,"A",IF(E18&lt;=0.95,"B","C")))</f>
      </c>
      <c r="G18" s="9">
        <f>IF(F18="A","Producto del hoy — proteger, rentabilizar, expandir",IF(F18="B","Transicional — evaluar conversión a A o descartar",IF(F18="C","Problema o residuo — candidato a abandono planificado","")))</f>
      </c>
    </row>
    <row r="19" ht="22" customHeight="1" spans="1:7" x14ac:dyDescent="0.25">
      <c r="A19" s="4">
        <v>15</v>
      </c>
      <c r="B19" s="5"/>
      <c r="C19" s="6"/>
      <c r="D19" s="7">
        <f>IFERROR(C19/SUM($C$5:$C$34),"")</f>
      </c>
      <c r="E19" s="7">
        <f>IFERROR(SUM($D$5:D19),"")</f>
      </c>
      <c r="F19" s="8">
        <f>IF(C19="","",IF(E19&lt;=0.8,"A",IF(E19&lt;=0.95,"B","C")))</f>
      </c>
      <c r="G19" s="9">
        <f>IF(F19="A","Producto del hoy — proteger, rentabilizar, expandir",IF(F19="B","Transicional — evaluar conversión a A o descartar",IF(F19="C","Problema o residuo — candidato a abandono planificado","")))</f>
      </c>
    </row>
    <row r="20" ht="22" customHeight="1" spans="1:7" x14ac:dyDescent="0.25">
      <c r="A20" s="4">
        <v>16</v>
      </c>
      <c r="B20" s="5"/>
      <c r="C20" s="6"/>
      <c r="D20" s="7">
        <f>IFERROR(C20/SUM($C$5:$C$34),"")</f>
      </c>
      <c r="E20" s="7">
        <f>IFERROR(SUM($D$5:D20),"")</f>
      </c>
      <c r="F20" s="8">
        <f>IF(C20="","",IF(E20&lt;=0.8,"A",IF(E20&lt;=0.95,"B","C")))</f>
      </c>
      <c r="G20" s="9">
        <f>IF(F20="A","Producto del hoy — proteger, rentabilizar, expandir",IF(F20="B","Transicional — evaluar conversión a A o descartar",IF(F20="C","Problema o residuo — candidato a abandono planificado","")))</f>
      </c>
    </row>
    <row r="21" ht="22" customHeight="1" spans="1:7" x14ac:dyDescent="0.25">
      <c r="A21" s="4">
        <v>17</v>
      </c>
      <c r="B21" s="5"/>
      <c r="C21" s="6"/>
      <c r="D21" s="7">
        <f>IFERROR(C21/SUM($C$5:$C$34),"")</f>
      </c>
      <c r="E21" s="7">
        <f>IFERROR(SUM($D$5:D21),"")</f>
      </c>
      <c r="F21" s="8">
        <f>IF(C21="","",IF(E21&lt;=0.8,"A",IF(E21&lt;=0.95,"B","C")))</f>
      </c>
      <c r="G21" s="9">
        <f>IF(F21="A","Producto del hoy — proteger, rentabilizar, expandir",IF(F21="B","Transicional — evaluar conversión a A o descartar",IF(F21="C","Problema o residuo — candidato a abandono planificado","")))</f>
      </c>
    </row>
    <row r="22" ht="22" customHeight="1" spans="1:7" x14ac:dyDescent="0.25">
      <c r="A22" s="4">
        <v>18</v>
      </c>
      <c r="B22" s="5"/>
      <c r="C22" s="6"/>
      <c r="D22" s="7">
        <f>IFERROR(C22/SUM($C$5:$C$34),"")</f>
      </c>
      <c r="E22" s="7">
        <f>IFERROR(SUM($D$5:D22),"")</f>
      </c>
      <c r="F22" s="8">
        <f>IF(C22="","",IF(E22&lt;=0.8,"A",IF(E22&lt;=0.95,"B","C")))</f>
      </c>
      <c r="G22" s="9">
        <f>IF(F22="A","Producto del hoy — proteger, rentabilizar, expandir",IF(F22="B","Transicional — evaluar conversión a A o descartar",IF(F22="C","Problema o residuo — candidato a abandono planificado","")))</f>
      </c>
    </row>
    <row r="23" ht="22" customHeight="1" spans="1:7" x14ac:dyDescent="0.25">
      <c r="A23" s="4">
        <v>19</v>
      </c>
      <c r="B23" s="5"/>
      <c r="C23" s="6"/>
      <c r="D23" s="7">
        <f>IFERROR(C23/SUM($C$5:$C$34),"")</f>
      </c>
      <c r="E23" s="7">
        <f>IFERROR(SUM($D$5:D23),"")</f>
      </c>
      <c r="F23" s="8">
        <f>IF(C23="","",IF(E23&lt;=0.8,"A",IF(E23&lt;=0.95,"B","C")))</f>
      </c>
      <c r="G23" s="9">
        <f>IF(F23="A","Producto del hoy — proteger, rentabilizar, expandir",IF(F23="B","Transicional — evaluar conversión a A o descartar",IF(F23="C","Problema o residuo — candidato a abandono planificado","")))</f>
      </c>
    </row>
    <row r="24" ht="22" customHeight="1" spans="1:7" x14ac:dyDescent="0.25">
      <c r="A24" s="4">
        <v>20</v>
      </c>
      <c r="B24" s="5"/>
      <c r="C24" s="6"/>
      <c r="D24" s="7">
        <f>IFERROR(C24/SUM($C$5:$C$34),"")</f>
      </c>
      <c r="E24" s="7">
        <f>IFERROR(SUM($D$5:D24),"")</f>
      </c>
      <c r="F24" s="8">
        <f>IF(C24="","",IF(E24&lt;=0.8,"A",IF(E24&lt;=0.95,"B","C")))</f>
      </c>
      <c r="G24" s="9">
        <f>IF(F24="A","Producto del hoy — proteger, rentabilizar, expandir",IF(F24="B","Transicional — evaluar conversión a A o descartar",IF(F24="C","Problema o residuo — candidato a abandono planificado","")))</f>
      </c>
    </row>
    <row r="25" ht="22" customHeight="1" spans="1:7" x14ac:dyDescent="0.25">
      <c r="A25" s="4">
        <v>21</v>
      </c>
      <c r="B25" s="5"/>
      <c r="C25" s="6"/>
      <c r="D25" s="7">
        <f>IFERROR(C25/SUM($C$5:$C$34),"")</f>
      </c>
      <c r="E25" s="7">
        <f>IFERROR(SUM($D$5:D25),"")</f>
      </c>
      <c r="F25" s="8">
        <f>IF(C25="","",IF(E25&lt;=0.8,"A",IF(E25&lt;=0.95,"B","C")))</f>
      </c>
      <c r="G25" s="9">
        <f>IF(F25="A","Producto del hoy — proteger, rentabilizar, expandir",IF(F25="B","Transicional — evaluar conversión a A o descartar",IF(F25="C","Problema o residuo — candidato a abandono planificado","")))</f>
      </c>
    </row>
    <row r="26" ht="22" customHeight="1" spans="1:7" x14ac:dyDescent="0.25">
      <c r="A26" s="4">
        <v>22</v>
      </c>
      <c r="B26" s="5"/>
      <c r="C26" s="6"/>
      <c r="D26" s="7">
        <f>IFERROR(C26/SUM($C$5:$C$34),"")</f>
      </c>
      <c r="E26" s="7">
        <f>IFERROR(SUM($D$5:D26),"")</f>
      </c>
      <c r="F26" s="8">
        <f>IF(C26="","",IF(E26&lt;=0.8,"A",IF(E26&lt;=0.95,"B","C")))</f>
      </c>
      <c r="G26" s="9">
        <f>IF(F26="A","Producto del hoy — proteger, rentabilizar, expandir",IF(F26="B","Transicional — evaluar conversión a A o descartar",IF(F26="C","Problema o residuo — candidato a abandono planificado","")))</f>
      </c>
    </row>
    <row r="27" ht="22" customHeight="1" spans="1:7" x14ac:dyDescent="0.25">
      <c r="A27" s="4">
        <v>23</v>
      </c>
      <c r="B27" s="5"/>
      <c r="C27" s="6"/>
      <c r="D27" s="7">
        <f>IFERROR(C27/SUM($C$5:$C$34),"")</f>
      </c>
      <c r="E27" s="7">
        <f>IFERROR(SUM($D$5:D27),"")</f>
      </c>
      <c r="F27" s="8">
        <f>IF(C27="","",IF(E27&lt;=0.8,"A",IF(E27&lt;=0.95,"B","C")))</f>
      </c>
      <c r="G27" s="9">
        <f>IF(F27="A","Producto del hoy — proteger, rentabilizar, expandir",IF(F27="B","Transicional — evaluar conversión a A o descartar",IF(F27="C","Problema o residuo — candidato a abandono planificado","")))</f>
      </c>
    </row>
    <row r="28" ht="22" customHeight="1" spans="1:7" x14ac:dyDescent="0.25">
      <c r="A28" s="4">
        <v>24</v>
      </c>
      <c r="B28" s="5"/>
      <c r="C28" s="6"/>
      <c r="D28" s="7">
        <f>IFERROR(C28/SUM($C$5:$C$34),"")</f>
      </c>
      <c r="E28" s="7">
        <f>IFERROR(SUM($D$5:D28),"")</f>
      </c>
      <c r="F28" s="8">
        <f>IF(C28="","",IF(E28&lt;=0.8,"A",IF(E28&lt;=0.95,"B","C")))</f>
      </c>
      <c r="G28" s="9">
        <f>IF(F28="A","Producto del hoy — proteger, rentabilizar, expandir",IF(F28="B","Transicional — evaluar conversión a A o descartar",IF(F28="C","Problema o residuo — candidato a abandono planificado","")))</f>
      </c>
    </row>
    <row r="29" ht="22" customHeight="1" spans="1:7" x14ac:dyDescent="0.25">
      <c r="A29" s="4">
        <v>25</v>
      </c>
      <c r="B29" s="5"/>
      <c r="C29" s="6"/>
      <c r="D29" s="7">
        <f>IFERROR(C29/SUM($C$5:$C$34),"")</f>
      </c>
      <c r="E29" s="7">
        <f>IFERROR(SUM($D$5:D29),"")</f>
      </c>
      <c r="F29" s="8">
        <f>IF(C29="","",IF(E29&lt;=0.8,"A",IF(E29&lt;=0.95,"B","C")))</f>
      </c>
      <c r="G29" s="9">
        <f>IF(F29="A","Producto del hoy — proteger, rentabilizar, expandir",IF(F29="B","Transicional — evaluar conversión a A o descartar",IF(F29="C","Problema o residuo — candidato a abandono planificado","")))</f>
      </c>
    </row>
    <row r="30" ht="22" customHeight="1" spans="1:7" x14ac:dyDescent="0.25">
      <c r="A30" s="4">
        <v>26</v>
      </c>
      <c r="B30" s="5"/>
      <c r="C30" s="6"/>
      <c r="D30" s="7">
        <f>IFERROR(C30/SUM($C$5:$C$34),"")</f>
      </c>
      <c r="E30" s="7">
        <f>IFERROR(SUM($D$5:D30),"")</f>
      </c>
      <c r="F30" s="8">
        <f>IF(C30="","",IF(E30&lt;=0.8,"A",IF(E30&lt;=0.95,"B","C")))</f>
      </c>
      <c r="G30" s="9">
        <f>IF(F30="A","Producto del hoy — proteger, rentabilizar, expandir",IF(F30="B","Transicional — evaluar conversión a A o descartar",IF(F30="C","Problema o residuo — candidato a abandono planificado","")))</f>
      </c>
    </row>
    <row r="31" ht="22" customHeight="1" spans="1:7" x14ac:dyDescent="0.25">
      <c r="A31" s="4">
        <v>27</v>
      </c>
      <c r="B31" s="5"/>
      <c r="C31" s="6"/>
      <c r="D31" s="7">
        <f>IFERROR(C31/SUM($C$5:$C$34),"")</f>
      </c>
      <c r="E31" s="7">
        <f>IFERROR(SUM($D$5:D31),"")</f>
      </c>
      <c r="F31" s="8">
        <f>IF(C31="","",IF(E31&lt;=0.8,"A",IF(E31&lt;=0.95,"B","C")))</f>
      </c>
      <c r="G31" s="9">
        <f>IF(F31="A","Producto del hoy — proteger, rentabilizar, expandir",IF(F31="B","Transicional — evaluar conversión a A o descartar",IF(F31="C","Problema o residuo — candidato a abandono planificado","")))</f>
      </c>
    </row>
    <row r="32" ht="22" customHeight="1" spans="1:7" x14ac:dyDescent="0.25">
      <c r="A32" s="4">
        <v>28</v>
      </c>
      <c r="B32" s="5"/>
      <c r="C32" s="6"/>
      <c r="D32" s="7">
        <f>IFERROR(C32/SUM($C$5:$C$34),"")</f>
      </c>
      <c r="E32" s="7">
        <f>IFERROR(SUM($D$5:D32),"")</f>
      </c>
      <c r="F32" s="8">
        <f>IF(C32="","",IF(E32&lt;=0.8,"A",IF(E32&lt;=0.95,"B","C")))</f>
      </c>
      <c r="G32" s="9">
        <f>IF(F32="A","Producto del hoy — proteger, rentabilizar, expandir",IF(F32="B","Transicional — evaluar conversión a A o descartar",IF(F32="C","Problema o residuo — candidato a abandono planificado","")))</f>
      </c>
    </row>
    <row r="33" ht="22" customHeight="1" spans="1:7" x14ac:dyDescent="0.25">
      <c r="A33" s="4">
        <v>29</v>
      </c>
      <c r="B33" s="5"/>
      <c r="C33" s="6"/>
      <c r="D33" s="7">
        <f>IFERROR(C33/SUM($C$5:$C$34),"")</f>
      </c>
      <c r="E33" s="7">
        <f>IFERROR(SUM($D$5:D33),"")</f>
      </c>
      <c r="F33" s="8">
        <f>IF(C33="","",IF(E33&lt;=0.8,"A",IF(E33&lt;=0.95,"B","C")))</f>
      </c>
      <c r="G33" s="9">
        <f>IF(F33="A","Producto del hoy — proteger, rentabilizar, expandir",IF(F33="B","Transicional — evaluar conversión a A o descartar",IF(F33="C","Problema o residuo — candidato a abandono planificado","")))</f>
      </c>
    </row>
    <row r="34" ht="22" customHeight="1" spans="1:7" x14ac:dyDescent="0.25">
      <c r="A34" s="4">
        <v>30</v>
      </c>
      <c r="B34" s="5"/>
      <c r="C34" s="6"/>
      <c r="D34" s="7">
        <f>IFERROR(C34/SUM($C$5:$C$34),"")</f>
      </c>
      <c r="E34" s="7">
        <f>IFERROR(SUM($D$5:D34),"")</f>
      </c>
      <c r="F34" s="8">
        <f>IF(C34="","",IF(E34&lt;=0.8,"A",IF(E34&lt;=0.95,"B","C")))</f>
      </c>
      <c r="G34" s="9">
        <f>IF(F34="A","Producto del hoy — proteger, rentabilizar, expandir",IF(F34="B","Transicional — evaluar conversión a A o descartar",IF(F34="C","Problema o residuo — candidato a abandono planificado","")))</f>
      </c>
    </row>
    <row r="36" spans="2:3" x14ac:dyDescent="0.25">
      <c r="B36" s="10" t="s">
        <v>9</v>
      </c>
      <c r="C36" s="11">
        <f>SUM(C5:C34)</f>
      </c>
    </row>
    <row r="39" spans="1:7" x14ac:dyDescent="0.25">
      <c r="A39" s="12" t="s">
        <v>10</v>
      </c>
      <c r="B39" s="12"/>
      <c r="C39" s="12"/>
      <c r="D39" s="12"/>
      <c r="E39" s="12"/>
      <c r="F39" s="12"/>
      <c r="G39" s="12"/>
    </row>
    <row r="40" spans="1:7" x14ac:dyDescent="0.25">
      <c r="A40" s="13" t="s">
        <v>11</v>
      </c>
      <c r="B40" s="13"/>
      <c r="C40" s="13"/>
      <c r="D40" s="13"/>
      <c r="E40" s="13"/>
      <c r="F40" s="13"/>
      <c r="G40" s="13"/>
    </row>
    <row r="41" spans="1:7" x14ac:dyDescent="0.25">
      <c r="A41" s="13" t="s">
        <v>12</v>
      </c>
      <c r="B41" s="13"/>
      <c r="C41" s="13"/>
      <c r="D41" s="13"/>
      <c r="E41" s="13"/>
      <c r="F41" s="13"/>
      <c r="G41" s="13"/>
    </row>
    <row r="42" spans="1:7" x14ac:dyDescent="0.25">
      <c r="A42" s="13" t="s">
        <v>13</v>
      </c>
      <c r="B42" s="13"/>
      <c r="C42" s="13"/>
      <c r="D42" s="13"/>
      <c r="E42" s="13"/>
      <c r="F42" s="13"/>
      <c r="G42" s="13"/>
    </row>
    <row r="43" spans="1:7" x14ac:dyDescent="0.25">
      <c r="A43" s="13" t="s">
        <v>14</v>
      </c>
      <c r="B43" s="13"/>
      <c r="C43" s="13"/>
      <c r="D43" s="13"/>
      <c r="E43" s="13"/>
      <c r="F43" s="13"/>
      <c r="G43" s="13"/>
    </row>
    <row r="44" spans="1:7" x14ac:dyDescent="0.25">
      <c r="A44" s="13" t="s">
        <v>15</v>
      </c>
      <c r="B44" s="13"/>
      <c r="C44" s="13"/>
      <c r="D44" s="13"/>
      <c r="E44" s="13"/>
      <c r="F44" s="13"/>
      <c r="G44" s="13"/>
    </row>
    <row r="45" spans="1:7" x14ac:dyDescent="0.25">
      <c r="A45" s="13" t="s">
        <v>16</v>
      </c>
      <c r="B45" s="13"/>
      <c r="C45" s="13"/>
      <c r="D45" s="13"/>
      <c r="E45" s="13"/>
      <c r="F45" s="13"/>
      <c r="G45" s="13"/>
    </row>
    <row r="46" spans="1:7" x14ac:dyDescent="0.25">
      <c r="A46" s="13" t="s">
        <v>17</v>
      </c>
      <c r="B46" s="13"/>
      <c r="C46" s="13"/>
      <c r="D46" s="13"/>
      <c r="E46" s="13"/>
      <c r="F46" s="13"/>
      <c r="G46" s="13"/>
    </row>
  </sheetData>
  <mergeCells count="10">
    <mergeCell ref="A1:G1"/>
    <mergeCell ref="A2:G2"/>
    <mergeCell ref="A39:G39"/>
    <mergeCell ref="A40:G40"/>
    <mergeCell ref="A41:G41"/>
    <mergeCell ref="A42:G42"/>
    <mergeCell ref="A43:G43"/>
    <mergeCell ref="A44:G44"/>
    <mergeCell ref="A45:G45"/>
    <mergeCell ref="A46:G46"/>
  </mergeCells>
  <conditionalFormatting sqref="A5:G34">
    <cfRule type="expression" dxfId="3" priority="1">
      <formula>$F5="A"</formula>
    </cfRule>
    <cfRule type="expression" dxfId="4" priority="2">
      <formula>$F5="B"</formula>
    </cfRule>
    <cfRule type="expression" dxfId="5" priority="3">
      <formula>$F5="C"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18" customWidth="1"/>
    <col min="4" max="4" width="12" customWidth="1"/>
    <col min="5" max="5" width="14" customWidth="1"/>
    <col min="6" max="6" width="10" customWidth="1"/>
    <col min="7" max="7" width="40" customWidth="1"/>
  </cols>
  <sheetData>
    <row r="1" ht="28" customHeight="1" spans="1:7" x14ac:dyDescent="0.25">
      <c r="A1" s="1" t="s">
        <v>20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21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>
        <v>1</v>
      </c>
      <c r="B5" s="5"/>
      <c r="C5" s="6"/>
      <c r="D5" s="7">
        <f>IFERROR(C5/SUM($C$5:$C$34),"")</f>
      </c>
      <c r="E5" s="7">
        <f>IFERROR(SUM($D$5:D5),"")</f>
      </c>
      <c r="F5" s="8">
        <f>IF(C5="","",IF(E5&lt;=0.8,"A",IF(E5&lt;=0.95,"B","C")))</f>
      </c>
      <c r="G5" s="9">
        <f>IF(F5="A","Producto del hoy — proteger, rentabilizar, expandir",IF(F5="B","Transicional — evaluar conversión a A o descartar",IF(F5="C","Problema o residuo — candidato a abandono planificado","")))</f>
      </c>
    </row>
    <row r="6" ht="22" customHeight="1" spans="1:7" x14ac:dyDescent="0.25">
      <c r="A6" s="4">
        <v>2</v>
      </c>
      <c r="B6" s="5"/>
      <c r="C6" s="6"/>
      <c r="D6" s="7">
        <f>IFERROR(C6/SUM($C$5:$C$34),"")</f>
      </c>
      <c r="E6" s="7">
        <f>IFERROR(SUM($D$5:D6),"")</f>
      </c>
      <c r="F6" s="8">
        <f>IF(C6="","",IF(E6&lt;=0.8,"A",IF(E6&lt;=0.95,"B","C")))</f>
      </c>
      <c r="G6" s="9">
        <f>IF(F6="A","Producto del hoy — proteger, rentabilizar, expandir",IF(F6="B","Transicional — evaluar conversión a A o descartar",IF(F6="C","Problema o residuo — candidato a abandono planificado","")))</f>
      </c>
    </row>
    <row r="7" ht="22" customHeight="1" spans="1:7" x14ac:dyDescent="0.25">
      <c r="A7" s="4">
        <v>3</v>
      </c>
      <c r="B7" s="5"/>
      <c r="C7" s="6"/>
      <c r="D7" s="7">
        <f>IFERROR(C7/SUM($C$5:$C$34),"")</f>
      </c>
      <c r="E7" s="7">
        <f>IFERROR(SUM($D$5:D7),"")</f>
      </c>
      <c r="F7" s="8">
        <f>IF(C7="","",IF(E7&lt;=0.8,"A",IF(E7&lt;=0.95,"B","C")))</f>
      </c>
      <c r="G7" s="9">
        <f>IF(F7="A","Producto del hoy — proteger, rentabilizar, expandir",IF(F7="B","Transicional — evaluar conversión a A o descartar",IF(F7="C","Problema o residuo — candidato a abandono planificado","")))</f>
      </c>
    </row>
    <row r="8" ht="22" customHeight="1" spans="1:7" x14ac:dyDescent="0.25">
      <c r="A8" s="4">
        <v>4</v>
      </c>
      <c r="B8" s="5"/>
      <c r="C8" s="6"/>
      <c r="D8" s="7">
        <f>IFERROR(C8/SUM($C$5:$C$34),"")</f>
      </c>
      <c r="E8" s="7">
        <f>IFERROR(SUM($D$5:D8),"")</f>
      </c>
      <c r="F8" s="8">
        <f>IF(C8="","",IF(E8&lt;=0.8,"A",IF(E8&lt;=0.95,"B","C")))</f>
      </c>
      <c r="G8" s="9">
        <f>IF(F8="A","Producto del hoy — proteger, rentabilizar, expandir",IF(F8="B","Transicional — evaluar conversión a A o descartar",IF(F8="C","Problema o residuo — candidato a abandono planificado","")))</f>
      </c>
    </row>
    <row r="9" ht="22" customHeight="1" spans="1:7" x14ac:dyDescent="0.25">
      <c r="A9" s="4">
        <v>5</v>
      </c>
      <c r="B9" s="5"/>
      <c r="C9" s="6"/>
      <c r="D9" s="7">
        <f>IFERROR(C9/SUM($C$5:$C$34),"")</f>
      </c>
      <c r="E9" s="7">
        <f>IFERROR(SUM($D$5:D9),"")</f>
      </c>
      <c r="F9" s="8">
        <f>IF(C9="","",IF(E9&lt;=0.8,"A",IF(E9&lt;=0.95,"B","C")))</f>
      </c>
      <c r="G9" s="9">
        <f>IF(F9="A","Producto del hoy — proteger, rentabilizar, expandir",IF(F9="B","Transicional — evaluar conversión a A o descartar",IF(F9="C","Problema o residuo — candidato a abandono planificado","")))</f>
      </c>
    </row>
    <row r="10" ht="22" customHeight="1" spans="1:7" x14ac:dyDescent="0.25">
      <c r="A10" s="4">
        <v>6</v>
      </c>
      <c r="B10" s="5"/>
      <c r="C10" s="6"/>
      <c r="D10" s="7">
        <f>IFERROR(C10/SUM($C$5:$C$34),"")</f>
      </c>
      <c r="E10" s="7">
        <f>IFERROR(SUM($D$5:D10),"")</f>
      </c>
      <c r="F10" s="8">
        <f>IF(C10="","",IF(E10&lt;=0.8,"A",IF(E10&lt;=0.95,"B","C")))</f>
      </c>
      <c r="G10" s="9">
        <f>IF(F10="A","Producto del hoy — proteger, rentabilizar, expandir",IF(F10="B","Transicional — evaluar conversión a A o descartar",IF(F10="C","Problema o residuo — candidato a abandono planificado","")))</f>
      </c>
    </row>
    <row r="11" ht="22" customHeight="1" spans="1:7" x14ac:dyDescent="0.25">
      <c r="A11" s="4">
        <v>7</v>
      </c>
      <c r="B11" s="5"/>
      <c r="C11" s="6"/>
      <c r="D11" s="7">
        <f>IFERROR(C11/SUM($C$5:$C$34),"")</f>
      </c>
      <c r="E11" s="7">
        <f>IFERROR(SUM($D$5:D11),"")</f>
      </c>
      <c r="F11" s="8">
        <f>IF(C11="","",IF(E11&lt;=0.8,"A",IF(E11&lt;=0.95,"B","C")))</f>
      </c>
      <c r="G11" s="9">
        <f>IF(F11="A","Producto del hoy — proteger, rentabilizar, expandir",IF(F11="B","Transicional — evaluar conversión a A o descartar",IF(F11="C","Problema o residuo — candidato a abandono planificado","")))</f>
      </c>
    </row>
    <row r="12" ht="22" customHeight="1" spans="1:7" x14ac:dyDescent="0.25">
      <c r="A12" s="4">
        <v>8</v>
      </c>
      <c r="B12" s="5"/>
      <c r="C12" s="6"/>
      <c r="D12" s="7">
        <f>IFERROR(C12/SUM($C$5:$C$34),"")</f>
      </c>
      <c r="E12" s="7">
        <f>IFERROR(SUM($D$5:D12),"")</f>
      </c>
      <c r="F12" s="8">
        <f>IF(C12="","",IF(E12&lt;=0.8,"A",IF(E12&lt;=0.95,"B","C")))</f>
      </c>
      <c r="G12" s="9">
        <f>IF(F12="A","Producto del hoy — proteger, rentabilizar, expandir",IF(F12="B","Transicional — evaluar conversión a A o descartar",IF(F12="C","Problema o residuo — candidato a abandono planificado","")))</f>
      </c>
    </row>
    <row r="13" ht="22" customHeight="1" spans="1:7" x14ac:dyDescent="0.25">
      <c r="A13" s="4">
        <v>9</v>
      </c>
      <c r="B13" s="5"/>
      <c r="C13" s="6"/>
      <c r="D13" s="7">
        <f>IFERROR(C13/SUM($C$5:$C$34),"")</f>
      </c>
      <c r="E13" s="7">
        <f>IFERROR(SUM($D$5:D13),"")</f>
      </c>
      <c r="F13" s="8">
        <f>IF(C13="","",IF(E13&lt;=0.8,"A",IF(E13&lt;=0.95,"B","C")))</f>
      </c>
      <c r="G13" s="9">
        <f>IF(F13="A","Producto del hoy — proteger, rentabilizar, expandir",IF(F13="B","Transicional — evaluar conversión a A o descartar",IF(F13="C","Problema o residuo — candidato a abandono planificado","")))</f>
      </c>
    </row>
    <row r="14" ht="22" customHeight="1" spans="1:7" x14ac:dyDescent="0.25">
      <c r="A14" s="4">
        <v>10</v>
      </c>
      <c r="B14" s="5"/>
      <c r="C14" s="6"/>
      <c r="D14" s="7">
        <f>IFERROR(C14/SUM($C$5:$C$34),"")</f>
      </c>
      <c r="E14" s="7">
        <f>IFERROR(SUM($D$5:D14),"")</f>
      </c>
      <c r="F14" s="8">
        <f>IF(C14="","",IF(E14&lt;=0.8,"A",IF(E14&lt;=0.95,"B","C")))</f>
      </c>
      <c r="G14" s="9">
        <f>IF(F14="A","Producto del hoy — proteger, rentabilizar, expandir",IF(F14="B","Transicional — evaluar conversión a A o descartar",IF(F14="C","Problema o residuo — candidato a abandono planificado","")))</f>
      </c>
    </row>
    <row r="15" ht="22" customHeight="1" spans="1:7" x14ac:dyDescent="0.25">
      <c r="A15" s="4">
        <v>11</v>
      </c>
      <c r="B15" s="5"/>
      <c r="C15" s="6"/>
      <c r="D15" s="7">
        <f>IFERROR(C15/SUM($C$5:$C$34),"")</f>
      </c>
      <c r="E15" s="7">
        <f>IFERROR(SUM($D$5:D15),"")</f>
      </c>
      <c r="F15" s="8">
        <f>IF(C15="","",IF(E15&lt;=0.8,"A",IF(E15&lt;=0.95,"B","C")))</f>
      </c>
      <c r="G15" s="9">
        <f>IF(F15="A","Producto del hoy — proteger, rentabilizar, expandir",IF(F15="B","Transicional — evaluar conversión a A o descartar",IF(F15="C","Problema o residuo — candidato a abandono planificado","")))</f>
      </c>
    </row>
    <row r="16" ht="22" customHeight="1" spans="1:7" x14ac:dyDescent="0.25">
      <c r="A16" s="4">
        <v>12</v>
      </c>
      <c r="B16" s="5"/>
      <c r="C16" s="6"/>
      <c r="D16" s="7">
        <f>IFERROR(C16/SUM($C$5:$C$34),"")</f>
      </c>
      <c r="E16" s="7">
        <f>IFERROR(SUM($D$5:D16),"")</f>
      </c>
      <c r="F16" s="8">
        <f>IF(C16="","",IF(E16&lt;=0.8,"A",IF(E16&lt;=0.95,"B","C")))</f>
      </c>
      <c r="G16" s="9">
        <f>IF(F16="A","Producto del hoy — proteger, rentabilizar, expandir",IF(F16="B","Transicional — evaluar conversión a A o descartar",IF(F16="C","Problema o residuo — candidato a abandono planificado","")))</f>
      </c>
    </row>
    <row r="17" ht="22" customHeight="1" spans="1:7" x14ac:dyDescent="0.25">
      <c r="A17" s="4">
        <v>13</v>
      </c>
      <c r="B17" s="5"/>
      <c r="C17" s="6"/>
      <c r="D17" s="7">
        <f>IFERROR(C17/SUM($C$5:$C$34),"")</f>
      </c>
      <c r="E17" s="7">
        <f>IFERROR(SUM($D$5:D17),"")</f>
      </c>
      <c r="F17" s="8">
        <f>IF(C17="","",IF(E17&lt;=0.8,"A",IF(E17&lt;=0.95,"B","C")))</f>
      </c>
      <c r="G17" s="9">
        <f>IF(F17="A","Producto del hoy — proteger, rentabilizar, expandir",IF(F17="B","Transicional — evaluar conversión a A o descartar",IF(F17="C","Problema o residuo — candidato a abandono planificado","")))</f>
      </c>
    </row>
    <row r="18" ht="22" customHeight="1" spans="1:7" x14ac:dyDescent="0.25">
      <c r="A18" s="4">
        <v>14</v>
      </c>
      <c r="B18" s="5"/>
      <c r="C18" s="6"/>
      <c r="D18" s="7">
        <f>IFERROR(C18/SUM($C$5:$C$34),"")</f>
      </c>
      <c r="E18" s="7">
        <f>IFERROR(SUM($D$5:D18),"")</f>
      </c>
      <c r="F18" s="8">
        <f>IF(C18="","",IF(E18&lt;=0.8,"A",IF(E18&lt;=0.95,"B","C")))</f>
      </c>
      <c r="G18" s="9">
        <f>IF(F18="A","Producto del hoy — proteger, rentabilizar, expandir",IF(F18="B","Transicional — evaluar conversión a A o descartar",IF(F18="C","Problema o residuo — candidato a abandono planificado","")))</f>
      </c>
    </row>
    <row r="19" ht="22" customHeight="1" spans="1:7" x14ac:dyDescent="0.25">
      <c r="A19" s="4">
        <v>15</v>
      </c>
      <c r="B19" s="5"/>
      <c r="C19" s="6"/>
      <c r="D19" s="7">
        <f>IFERROR(C19/SUM($C$5:$C$34),"")</f>
      </c>
      <c r="E19" s="7">
        <f>IFERROR(SUM($D$5:D19),"")</f>
      </c>
      <c r="F19" s="8">
        <f>IF(C19="","",IF(E19&lt;=0.8,"A",IF(E19&lt;=0.95,"B","C")))</f>
      </c>
      <c r="G19" s="9">
        <f>IF(F19="A","Producto del hoy — proteger, rentabilizar, expandir",IF(F19="B","Transicional — evaluar conversión a A o descartar",IF(F19="C","Problema o residuo — candidato a abandono planificado","")))</f>
      </c>
    </row>
    <row r="20" ht="22" customHeight="1" spans="1:7" x14ac:dyDescent="0.25">
      <c r="A20" s="4">
        <v>16</v>
      </c>
      <c r="B20" s="5"/>
      <c r="C20" s="6"/>
      <c r="D20" s="7">
        <f>IFERROR(C20/SUM($C$5:$C$34),"")</f>
      </c>
      <c r="E20" s="7">
        <f>IFERROR(SUM($D$5:D20),"")</f>
      </c>
      <c r="F20" s="8">
        <f>IF(C20="","",IF(E20&lt;=0.8,"A",IF(E20&lt;=0.95,"B","C")))</f>
      </c>
      <c r="G20" s="9">
        <f>IF(F20="A","Producto del hoy — proteger, rentabilizar, expandir",IF(F20="B","Transicional — evaluar conversión a A o descartar",IF(F20="C","Problema o residuo — candidato a abandono planificado","")))</f>
      </c>
    </row>
    <row r="21" ht="22" customHeight="1" spans="1:7" x14ac:dyDescent="0.25">
      <c r="A21" s="4">
        <v>17</v>
      </c>
      <c r="B21" s="5"/>
      <c r="C21" s="6"/>
      <c r="D21" s="7">
        <f>IFERROR(C21/SUM($C$5:$C$34),"")</f>
      </c>
      <c r="E21" s="7">
        <f>IFERROR(SUM($D$5:D21),"")</f>
      </c>
      <c r="F21" s="8">
        <f>IF(C21="","",IF(E21&lt;=0.8,"A",IF(E21&lt;=0.95,"B","C")))</f>
      </c>
      <c r="G21" s="9">
        <f>IF(F21="A","Producto del hoy — proteger, rentabilizar, expandir",IF(F21="B","Transicional — evaluar conversión a A o descartar",IF(F21="C","Problema o residuo — candidato a abandono planificado","")))</f>
      </c>
    </row>
    <row r="22" ht="22" customHeight="1" spans="1:7" x14ac:dyDescent="0.25">
      <c r="A22" s="4">
        <v>18</v>
      </c>
      <c r="B22" s="5"/>
      <c r="C22" s="6"/>
      <c r="D22" s="7">
        <f>IFERROR(C22/SUM($C$5:$C$34),"")</f>
      </c>
      <c r="E22" s="7">
        <f>IFERROR(SUM($D$5:D22),"")</f>
      </c>
      <c r="F22" s="8">
        <f>IF(C22="","",IF(E22&lt;=0.8,"A",IF(E22&lt;=0.95,"B","C")))</f>
      </c>
      <c r="G22" s="9">
        <f>IF(F22="A","Producto del hoy — proteger, rentabilizar, expandir",IF(F22="B","Transicional — evaluar conversión a A o descartar",IF(F22="C","Problema o residuo — candidato a abandono planificado","")))</f>
      </c>
    </row>
    <row r="23" ht="22" customHeight="1" spans="1:7" x14ac:dyDescent="0.25">
      <c r="A23" s="4">
        <v>19</v>
      </c>
      <c r="B23" s="5"/>
      <c r="C23" s="6"/>
      <c r="D23" s="7">
        <f>IFERROR(C23/SUM($C$5:$C$34),"")</f>
      </c>
      <c r="E23" s="7">
        <f>IFERROR(SUM($D$5:D23),"")</f>
      </c>
      <c r="F23" s="8">
        <f>IF(C23="","",IF(E23&lt;=0.8,"A",IF(E23&lt;=0.95,"B","C")))</f>
      </c>
      <c r="G23" s="9">
        <f>IF(F23="A","Producto del hoy — proteger, rentabilizar, expandir",IF(F23="B","Transicional — evaluar conversión a A o descartar",IF(F23="C","Problema o residuo — candidato a abandono planificado","")))</f>
      </c>
    </row>
    <row r="24" ht="22" customHeight="1" spans="1:7" x14ac:dyDescent="0.25">
      <c r="A24" s="4">
        <v>20</v>
      </c>
      <c r="B24" s="5"/>
      <c r="C24" s="6"/>
      <c r="D24" s="7">
        <f>IFERROR(C24/SUM($C$5:$C$34),"")</f>
      </c>
      <c r="E24" s="7">
        <f>IFERROR(SUM($D$5:D24),"")</f>
      </c>
      <c r="F24" s="8">
        <f>IF(C24="","",IF(E24&lt;=0.8,"A",IF(E24&lt;=0.95,"B","C")))</f>
      </c>
      <c r="G24" s="9">
        <f>IF(F24="A","Producto del hoy — proteger, rentabilizar, expandir",IF(F24="B","Transicional — evaluar conversión a A o descartar",IF(F24="C","Problema o residuo — candidato a abandono planificado","")))</f>
      </c>
    </row>
    <row r="25" ht="22" customHeight="1" spans="1:7" x14ac:dyDescent="0.25">
      <c r="A25" s="4">
        <v>21</v>
      </c>
      <c r="B25" s="5"/>
      <c r="C25" s="6"/>
      <c r="D25" s="7">
        <f>IFERROR(C25/SUM($C$5:$C$34),"")</f>
      </c>
      <c r="E25" s="7">
        <f>IFERROR(SUM($D$5:D25),"")</f>
      </c>
      <c r="F25" s="8">
        <f>IF(C25="","",IF(E25&lt;=0.8,"A",IF(E25&lt;=0.95,"B","C")))</f>
      </c>
      <c r="G25" s="9">
        <f>IF(F25="A","Producto del hoy — proteger, rentabilizar, expandir",IF(F25="B","Transicional — evaluar conversión a A o descartar",IF(F25="C","Problema o residuo — candidato a abandono planificado","")))</f>
      </c>
    </row>
    <row r="26" ht="22" customHeight="1" spans="1:7" x14ac:dyDescent="0.25">
      <c r="A26" s="4">
        <v>22</v>
      </c>
      <c r="B26" s="5"/>
      <c r="C26" s="6"/>
      <c r="D26" s="7">
        <f>IFERROR(C26/SUM($C$5:$C$34),"")</f>
      </c>
      <c r="E26" s="7">
        <f>IFERROR(SUM($D$5:D26),"")</f>
      </c>
      <c r="F26" s="8">
        <f>IF(C26="","",IF(E26&lt;=0.8,"A",IF(E26&lt;=0.95,"B","C")))</f>
      </c>
      <c r="G26" s="9">
        <f>IF(F26="A","Producto del hoy — proteger, rentabilizar, expandir",IF(F26="B","Transicional — evaluar conversión a A o descartar",IF(F26="C","Problema o residuo — candidato a abandono planificado","")))</f>
      </c>
    </row>
    <row r="27" ht="22" customHeight="1" spans="1:7" x14ac:dyDescent="0.25">
      <c r="A27" s="4">
        <v>23</v>
      </c>
      <c r="B27" s="5"/>
      <c r="C27" s="6"/>
      <c r="D27" s="7">
        <f>IFERROR(C27/SUM($C$5:$C$34),"")</f>
      </c>
      <c r="E27" s="7">
        <f>IFERROR(SUM($D$5:D27),"")</f>
      </c>
      <c r="F27" s="8">
        <f>IF(C27="","",IF(E27&lt;=0.8,"A",IF(E27&lt;=0.95,"B","C")))</f>
      </c>
      <c r="G27" s="9">
        <f>IF(F27="A","Producto del hoy — proteger, rentabilizar, expandir",IF(F27="B","Transicional — evaluar conversión a A o descartar",IF(F27="C","Problema o residuo — candidato a abandono planificado","")))</f>
      </c>
    </row>
    <row r="28" ht="22" customHeight="1" spans="1:7" x14ac:dyDescent="0.25">
      <c r="A28" s="4">
        <v>24</v>
      </c>
      <c r="B28" s="5"/>
      <c r="C28" s="6"/>
      <c r="D28" s="7">
        <f>IFERROR(C28/SUM($C$5:$C$34),"")</f>
      </c>
      <c r="E28" s="7">
        <f>IFERROR(SUM($D$5:D28),"")</f>
      </c>
      <c r="F28" s="8">
        <f>IF(C28="","",IF(E28&lt;=0.8,"A",IF(E28&lt;=0.95,"B","C")))</f>
      </c>
      <c r="G28" s="9">
        <f>IF(F28="A","Producto del hoy — proteger, rentabilizar, expandir",IF(F28="B","Transicional — evaluar conversión a A o descartar",IF(F28="C","Problema o residuo — candidato a abandono planificado","")))</f>
      </c>
    </row>
    <row r="29" ht="22" customHeight="1" spans="1:7" x14ac:dyDescent="0.25">
      <c r="A29" s="4">
        <v>25</v>
      </c>
      <c r="B29" s="5"/>
      <c r="C29" s="6"/>
      <c r="D29" s="7">
        <f>IFERROR(C29/SUM($C$5:$C$34),"")</f>
      </c>
      <c r="E29" s="7">
        <f>IFERROR(SUM($D$5:D29),"")</f>
      </c>
      <c r="F29" s="8">
        <f>IF(C29="","",IF(E29&lt;=0.8,"A",IF(E29&lt;=0.95,"B","C")))</f>
      </c>
      <c r="G29" s="9">
        <f>IF(F29="A","Producto del hoy — proteger, rentabilizar, expandir",IF(F29="B","Transicional — evaluar conversión a A o descartar",IF(F29="C","Problema o residuo — candidato a abandono planificado","")))</f>
      </c>
    </row>
    <row r="30" ht="22" customHeight="1" spans="1:7" x14ac:dyDescent="0.25">
      <c r="A30" s="4">
        <v>26</v>
      </c>
      <c r="B30" s="5"/>
      <c r="C30" s="6"/>
      <c r="D30" s="7">
        <f>IFERROR(C30/SUM($C$5:$C$34),"")</f>
      </c>
      <c r="E30" s="7">
        <f>IFERROR(SUM($D$5:D30),"")</f>
      </c>
      <c r="F30" s="8">
        <f>IF(C30="","",IF(E30&lt;=0.8,"A",IF(E30&lt;=0.95,"B","C")))</f>
      </c>
      <c r="G30" s="9">
        <f>IF(F30="A","Producto del hoy — proteger, rentabilizar, expandir",IF(F30="B","Transicional — evaluar conversión a A o descartar",IF(F30="C","Problema o residuo — candidato a abandono planificado","")))</f>
      </c>
    </row>
    <row r="31" ht="22" customHeight="1" spans="1:7" x14ac:dyDescent="0.25">
      <c r="A31" s="4">
        <v>27</v>
      </c>
      <c r="B31" s="5"/>
      <c r="C31" s="6"/>
      <c r="D31" s="7">
        <f>IFERROR(C31/SUM($C$5:$C$34),"")</f>
      </c>
      <c r="E31" s="7">
        <f>IFERROR(SUM($D$5:D31),"")</f>
      </c>
      <c r="F31" s="8">
        <f>IF(C31="","",IF(E31&lt;=0.8,"A",IF(E31&lt;=0.95,"B","C")))</f>
      </c>
      <c r="G31" s="9">
        <f>IF(F31="A","Producto del hoy — proteger, rentabilizar, expandir",IF(F31="B","Transicional — evaluar conversión a A o descartar",IF(F31="C","Problema o residuo — candidato a abandono planificado","")))</f>
      </c>
    </row>
    <row r="32" ht="22" customHeight="1" spans="1:7" x14ac:dyDescent="0.25">
      <c r="A32" s="4">
        <v>28</v>
      </c>
      <c r="B32" s="5"/>
      <c r="C32" s="6"/>
      <c r="D32" s="7">
        <f>IFERROR(C32/SUM($C$5:$C$34),"")</f>
      </c>
      <c r="E32" s="7">
        <f>IFERROR(SUM($D$5:D32),"")</f>
      </c>
      <c r="F32" s="8">
        <f>IF(C32="","",IF(E32&lt;=0.8,"A",IF(E32&lt;=0.95,"B","C")))</f>
      </c>
      <c r="G32" s="9">
        <f>IF(F32="A","Producto del hoy — proteger, rentabilizar, expandir",IF(F32="B","Transicional — evaluar conversión a A o descartar",IF(F32="C","Problema o residuo — candidato a abandono planificado","")))</f>
      </c>
    </row>
    <row r="33" ht="22" customHeight="1" spans="1:7" x14ac:dyDescent="0.25">
      <c r="A33" s="4">
        <v>29</v>
      </c>
      <c r="B33" s="5"/>
      <c r="C33" s="6"/>
      <c r="D33" s="7">
        <f>IFERROR(C33/SUM($C$5:$C$34),"")</f>
      </c>
      <c r="E33" s="7">
        <f>IFERROR(SUM($D$5:D33),"")</f>
      </c>
      <c r="F33" s="8">
        <f>IF(C33="","",IF(E33&lt;=0.8,"A",IF(E33&lt;=0.95,"B","C")))</f>
      </c>
      <c r="G33" s="9">
        <f>IF(F33="A","Producto del hoy — proteger, rentabilizar, expandir",IF(F33="B","Transicional — evaluar conversión a A o descartar",IF(F33="C","Problema o residuo — candidato a abandono planificado","")))</f>
      </c>
    </row>
    <row r="34" ht="22" customHeight="1" spans="1:7" x14ac:dyDescent="0.25">
      <c r="A34" s="4">
        <v>30</v>
      </c>
      <c r="B34" s="5"/>
      <c r="C34" s="6"/>
      <c r="D34" s="7">
        <f>IFERROR(C34/SUM($C$5:$C$34),"")</f>
      </c>
      <c r="E34" s="7">
        <f>IFERROR(SUM($D$5:D34),"")</f>
      </c>
      <c r="F34" s="8">
        <f>IF(C34="","",IF(E34&lt;=0.8,"A",IF(E34&lt;=0.95,"B","C")))</f>
      </c>
      <c r="G34" s="9">
        <f>IF(F34="A","Producto del hoy — proteger, rentabilizar, expandir",IF(F34="B","Transicional — evaluar conversión a A o descartar",IF(F34="C","Problema o residuo — candidato a abandono planificado","")))</f>
      </c>
    </row>
    <row r="36" spans="2:3" x14ac:dyDescent="0.25">
      <c r="B36" s="10" t="s">
        <v>9</v>
      </c>
      <c r="C36" s="11">
        <f>SUM(C5:C34)</f>
      </c>
    </row>
    <row r="39" spans="1:7" x14ac:dyDescent="0.25">
      <c r="A39" s="12" t="s">
        <v>10</v>
      </c>
      <c r="B39" s="12"/>
      <c r="C39" s="12"/>
      <c r="D39" s="12"/>
      <c r="E39" s="12"/>
      <c r="F39" s="12"/>
      <c r="G39" s="12"/>
    </row>
    <row r="40" spans="1:7" x14ac:dyDescent="0.25">
      <c r="A40" s="13" t="s">
        <v>11</v>
      </c>
      <c r="B40" s="13"/>
      <c r="C40" s="13"/>
      <c r="D40" s="13"/>
      <c r="E40" s="13"/>
      <c r="F40" s="13"/>
      <c r="G40" s="13"/>
    </row>
    <row r="41" spans="1:7" x14ac:dyDescent="0.25">
      <c r="A41" s="13" t="s">
        <v>12</v>
      </c>
      <c r="B41" s="13"/>
      <c r="C41" s="13"/>
      <c r="D41" s="13"/>
      <c r="E41" s="13"/>
      <c r="F41" s="13"/>
      <c r="G41" s="13"/>
    </row>
    <row r="42" spans="1:7" x14ac:dyDescent="0.25">
      <c r="A42" s="13" t="s">
        <v>13</v>
      </c>
      <c r="B42" s="13"/>
      <c r="C42" s="13"/>
      <c r="D42" s="13"/>
      <c r="E42" s="13"/>
      <c r="F42" s="13"/>
      <c r="G42" s="13"/>
    </row>
    <row r="43" spans="1:7" x14ac:dyDescent="0.25">
      <c r="A43" s="13" t="s">
        <v>14</v>
      </c>
      <c r="B43" s="13"/>
      <c r="C43" s="13"/>
      <c r="D43" s="13"/>
      <c r="E43" s="13"/>
      <c r="F43" s="13"/>
      <c r="G43" s="13"/>
    </row>
    <row r="44" spans="1:7" x14ac:dyDescent="0.25">
      <c r="A44" s="13" t="s">
        <v>15</v>
      </c>
      <c r="B44" s="13"/>
      <c r="C44" s="13"/>
      <c r="D44" s="13"/>
      <c r="E44" s="13"/>
      <c r="F44" s="13"/>
      <c r="G44" s="13"/>
    </row>
    <row r="45" spans="1:7" x14ac:dyDescent="0.25">
      <c r="A45" s="13" t="s">
        <v>16</v>
      </c>
      <c r="B45" s="13"/>
      <c r="C45" s="13"/>
      <c r="D45" s="13"/>
      <c r="E45" s="13"/>
      <c r="F45" s="13"/>
      <c r="G45" s="13"/>
    </row>
    <row r="46" spans="1:7" x14ac:dyDescent="0.25">
      <c r="A46" s="13" t="s">
        <v>17</v>
      </c>
      <c r="B46" s="13"/>
      <c r="C46" s="13"/>
      <c r="D46" s="13"/>
      <c r="E46" s="13"/>
      <c r="F46" s="13"/>
      <c r="G46" s="13"/>
    </row>
  </sheetData>
  <mergeCells count="10">
    <mergeCell ref="A1:G1"/>
    <mergeCell ref="A2:G2"/>
    <mergeCell ref="A39:G39"/>
    <mergeCell ref="A40:G40"/>
    <mergeCell ref="A41:G41"/>
    <mergeCell ref="A42:G42"/>
    <mergeCell ref="A43:G43"/>
    <mergeCell ref="A44:G44"/>
    <mergeCell ref="A45:G45"/>
    <mergeCell ref="A46:G46"/>
  </mergeCells>
  <conditionalFormatting sqref="A5:G34">
    <cfRule type="expression" dxfId="6" priority="1">
      <formula>$F5="A"</formula>
    </cfRule>
    <cfRule type="expression" dxfId="7" priority="2">
      <formula>$F5="B"</formula>
    </cfRule>
    <cfRule type="expression" dxfId="8" priority="3">
      <formula>$F5="C"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E12"/>
  <sheetFormatPr defaultRowHeight="15" outlineLevelRow="0" outlineLevelCol="0" x14ac:dyDescent="55"/>
  <cols>
    <col min="1" max="5" width="20" customWidth="1"/>
  </cols>
  <sheetData>
    <row r="1" ht="30" customHeight="1" spans="1:5" x14ac:dyDescent="0.25">
      <c r="A1" s="14" t="s">
        <v>22</v>
      </c>
      <c r="B1" s="14"/>
      <c r="C1" s="14"/>
      <c r="D1" s="14"/>
      <c r="E1" s="14"/>
    </row>
    <row r="3" spans="1:5" x14ac:dyDescent="0.25">
      <c r="A3" s="15" t="s">
        <v>23</v>
      </c>
      <c r="B3" s="15"/>
      <c r="C3" s="15"/>
      <c r="D3" s="15"/>
      <c r="E3" s="15"/>
    </row>
    <row r="4" spans="1:5" x14ac:dyDescent="0.25">
      <c r="A4" s="15"/>
      <c r="B4" s="15"/>
      <c r="C4" s="15"/>
      <c r="D4" s="15"/>
      <c r="E4" s="15"/>
    </row>
    <row r="5" spans="1:5" x14ac:dyDescent="0.25">
      <c r="A5" s="15"/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15"/>
      <c r="B7" s="15"/>
      <c r="C7" s="15"/>
      <c r="D7" s="15"/>
      <c r="E7" s="15"/>
    </row>
    <row r="8" spans="1:5" x14ac:dyDescent="0.25">
      <c r="A8" s="15"/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</sheetData>
  <mergeCells count="2">
    <mergeCell ref="A1:E1"/>
    <mergeCell ref="A3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Productos</vt:lpstr>
      <vt:lpstr>Clientes</vt:lpstr>
      <vt:lpstr>Canales</vt:lpstr>
      <vt:lpstr>Cita Drucker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TRIKLES</dc:creator>
  <dc:title>Análisis ABC (Drucker) — Productos, Clientes y Canales</dc:title>
  <dc:subject/>
  <dc:description>Plantilla del curso "La Gerencia Efectiva"</dc:description>
  <cp:keywords/>
  <cp:category/>
  <cp:lastModifiedBy>Unknown</cp:lastModifiedBy>
  <dcterms:created xsi:type="dcterms:W3CDTF">2026-04-15T18:18:45Z</dcterms:created>
  <dcterms:modified xsi:type="dcterms:W3CDTF">2026-04-15T18:18:45Z</dcterms:modified>
</cp:coreProperties>
</file>