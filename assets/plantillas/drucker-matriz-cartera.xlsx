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" state="visible" r:id="rId4"/>
    <sheet sheetId="2" name="Glosario" state="visible" r:id="rId5"/>
  </sheets>
  <calcPr calcId="171027"/>
</workbook>
</file>

<file path=xl/sharedStrings.xml><?xml version="1.0" encoding="utf-8"?>
<sst xmlns="http://schemas.openxmlformats.org/spreadsheetml/2006/main" count="35" uniqueCount="35">
  <si>
    <t>Matriz de Cartera — Las 11 Categorías de Productos de Drucker</t>
  </si>
  <si>
    <t>Clasifica cada producto o línea de tu empresa en una de las 11 categorías de Drucker (Cap. IV).</t>
  </si>
  <si>
    <t>#</t>
  </si>
  <si>
    <t>Producto / Línea</t>
  </si>
  <si>
    <t>% Ingresos</t>
  </si>
  <si>
    <t>% Utilidad</t>
  </si>
  <si>
    <t>Tendencia</t>
  </si>
  <si>
    <t>Edad</t>
  </si>
  <si>
    <t>Categoría Drucker</t>
  </si>
  <si>
    <t>Prioridad</t>
  </si>
  <si>
    <t>Acción</t>
  </si>
  <si>
    <t>Categoría</t>
  </si>
  <si>
    <t>Definición (Drucker, Cap. IV)</t>
  </si>
  <si>
    <t>Sostén principal de hoy</t>
  </si>
  <si>
    <t>El producto que genera la mayor parte del ingreso y utilidad HOY. Es el flujo de caja que financia todo lo demás.</t>
  </si>
  <si>
    <t>Sostén principal de mañana</t>
  </si>
  <si>
    <t>El producto joven en crecimiento acelerado que será el sostén principal en 3-5 años. Merece inversión máxima.</t>
  </si>
  <si>
    <t>Productos productivos</t>
  </si>
  <si>
    <t>Productos maduros, rentables, estables. Ordeñar: máximo margen con mínima inversión.</t>
  </si>
  <si>
    <t>Productos en desarrollo</t>
  </si>
  <si>
    <t>Productos nuevos aún no probados en el mercado. Exigen decisión: acelerarlos o matarlos pronto.</t>
  </si>
  <si>
    <t>Productos fracasados</t>
  </si>
  <si>
    <t>Productos que nunca cumplieron expectativas. Seguir invirtiendo es tirar dinero bueno tras dinero malo.</t>
  </si>
  <si>
    <t>El ayer del sostén principal</t>
  </si>
  <si>
    <t>Producto que fue sostén principal y ahora está decayendo. Planificar salida ordenada.</t>
  </si>
  <si>
    <t>Productos reparables</t>
  </si>
  <si>
    <t>Productos con un único problema identificable y solucionable. Si una cirugía no los salva, abandonar.</t>
  </si>
  <si>
    <t>Especialidades innecesarias</t>
  </si>
  <si>
    <t>Productos que la dirección mantiene por afecto, no por economía. Eliminar.</t>
  </si>
  <si>
    <t>Variaciones especiales innecesarias</t>
  </si>
  <si>
    <t>Sabores, tamaños, colores que fragmentan el esfuerzo sin agregar valor. Consolidar.</t>
  </si>
  <si>
    <t>Las inversiones en el ego gerencial</t>
  </si>
  <si>
    <t>Productos que "algún día" funcionarán según el directivo que los impulsa. Drucker: el ego no paga nómina.</t>
  </si>
  <si>
    <t>La Cenicienta o los si-tan-sólo</t>
  </si>
  <si>
    <t>Productos desatendidos con potencial oculto. A veces esconden el próximo sostén principal.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</si>
</sst>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10" fontId="0" fillId="0" borderId="2" xfId="0" applyNumberFormat="1" applyBorder="1"/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CDD2"/>
        </patternFill>
      </fill>
    </dxf>
    <dxf>
      <fill>
        <patternFill patternType="solid">
          <bgColor rgb="FFFFF9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5" width="12" customWidth="1"/>
    <col min="6" max="6" width="10" customWidth="1"/>
    <col min="7" max="7" width="28" customWidth="1"/>
    <col min="8" max="8" width="14" customWidth="1"/>
    <col min="9" max="9" width="34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3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40" customHeight="1" spans="1:9" x14ac:dyDescent="0.25">
      <c r="A5" s="4">
        <v>1</v>
      </c>
      <c r="B5" s="5"/>
      <c r="C5" s="6"/>
      <c r="D5" s="6"/>
      <c r="E5" s="5"/>
      <c r="F5" s="5"/>
      <c r="G5" s="5"/>
      <c r="H5" s="7">
        <f>IF(G5="Sostén principal de hoy","Alta",IF(G5="Sostén principal de mañana","Máxima",IF(G5="Productos productivos","Media",IF(G5="Productos en desarrollo","Alta",IF(G5="Productos fracasados","Abandono",IF(G5="El ayer del sostén principal","Baja",IF(G5="Productos reparables","Media",IF(G5="Especialidades innecesarias","Abandono",IF(G5="Variaciones especiales innecesarias","Abandono",IF(G5="Las inversiones en el ego gerencial","Abandono",IF(G5="La Cenicienta o los si-tan-sólo","Revisar",""))))))))))) </f>
      </c>
      <c r="I5" s="8">
        <f>IF(G5="Sostén principal de hoy","PROTEGER — el flujo de caja que financia todo. Optimizar rentabilidad sin canibalizar.",IF(G5="Sostén principal de mañana","INVERTIR — prioridad máxima. Son el sostén principal en 3-5 años.",IF(G5="Productos productivos","ORDEÑAR — maximizar margen, minimizar inversión. Preparar sucesores.",IF(G5="Productos en desarrollo","ACELERAR — decisión fría: lanzar o matar. No mantener en limbo.",IF(G5="Productos fracasados","ABANDONAR — hoy. Cada día que siguen consumen recursos que faltan en otro lado.",IF(G5="El ayer del sostén principal","PLANIFICAR SALIDA — extraer flujo residual y abandonar en 12-24 meses.",IF(G5="Productos reparables","CIRUGÍA — un solo cambio decisivo. Si no se arregla en 6 meses, al archivo.",IF(G5="Especialidades innecesarias","ELIMINAR — absorben tiempo gerencial desproporcionado al ingreso.",IF(G5="Variaciones especiales innecesarias","CONSOLIDAR — fusionar en la línea principal o eliminar.",IF(G5="Las inversiones en el ego gerencial","MATAR — ""algún día será"" no es estrategia. El ego no paga nómina.",IF(G5="La Cenicienta o los si-tan-sólo","INVESTIGAR — puede esconder un sostén principal de mañana ignorado.","")))))))))))</f>
      </c>
    </row>
    <row r="6" ht="40" customHeight="1" spans="1:9" x14ac:dyDescent="0.25">
      <c r="A6" s="4">
        <v>2</v>
      </c>
      <c r="B6" s="5"/>
      <c r="C6" s="6"/>
      <c r="D6" s="6"/>
      <c r="E6" s="5"/>
      <c r="F6" s="5"/>
      <c r="G6" s="5"/>
      <c r="H6" s="7">
        <f>IF(G6="Sostén principal de hoy","Alta",IF(G6="Sostén principal de mañana","Máxima",IF(G6="Productos productivos","Media",IF(G6="Productos en desarrollo","Alta",IF(G6="Productos fracasados","Abandono",IF(G6="El ayer del sostén principal","Baja",IF(G6="Productos reparables","Media",IF(G6="Especialidades innecesarias","Abandono",IF(G6="Variaciones especiales innecesarias","Abandono",IF(G6="Las inversiones en el ego gerencial","Abandono",IF(G6="La Cenicienta o los si-tan-sólo","Revisar",""))))))))))) </f>
      </c>
      <c r="I6" s="8">
        <f>IF(G6="Sostén principal de hoy","PROTEGER — el flujo de caja que financia todo. Optimizar rentabilidad sin canibalizar.",IF(G6="Sostén principal de mañana","INVERTIR — prioridad máxima. Son el sostén principal en 3-5 años.",IF(G6="Productos productivos","ORDEÑAR — maximizar margen, minimizar inversión. Preparar sucesores.",IF(G6="Productos en desarrollo","ACELERAR — decisión fría: lanzar o matar. No mantener en limbo.",IF(G6="Productos fracasados","ABANDONAR — hoy. Cada día que siguen consumen recursos que faltan en otro lado.",IF(G6="El ayer del sostén principal","PLANIFICAR SALIDA — extraer flujo residual y abandonar en 12-24 meses.",IF(G6="Productos reparables","CIRUGÍA — un solo cambio decisivo. Si no se arregla en 6 meses, al archivo.",IF(G6="Especialidades innecesarias","ELIMINAR — absorben tiempo gerencial desproporcionado al ingreso.",IF(G6="Variaciones especiales innecesarias","CONSOLIDAR — fusionar en la línea principal o eliminar.",IF(G6="Las inversiones en el ego gerencial","MATAR — ""algún día será"" no es estrategia. El ego no paga nómina.",IF(G6="La Cenicienta o los si-tan-sólo","INVESTIGAR — puede esconder un sostén principal de mañana ignorado.","")))))))))))</f>
      </c>
    </row>
    <row r="7" ht="40" customHeight="1" spans="1:9" x14ac:dyDescent="0.25">
      <c r="A7" s="4">
        <v>3</v>
      </c>
      <c r="B7" s="5"/>
      <c r="C7" s="6"/>
      <c r="D7" s="6"/>
      <c r="E7" s="5"/>
      <c r="F7" s="5"/>
      <c r="G7" s="5"/>
      <c r="H7" s="7">
        <f>IF(G7="Sostén principal de hoy","Alta",IF(G7="Sostén principal de mañana","Máxima",IF(G7="Productos productivos","Media",IF(G7="Productos en desarrollo","Alta",IF(G7="Productos fracasados","Abandono",IF(G7="El ayer del sostén principal","Baja",IF(G7="Productos reparables","Media",IF(G7="Especialidades innecesarias","Abandono",IF(G7="Variaciones especiales innecesarias","Abandono",IF(G7="Las inversiones en el ego gerencial","Abandono",IF(G7="La Cenicienta o los si-tan-sólo","Revisar",""))))))))))) </f>
      </c>
      <c r="I7" s="8">
        <f>IF(G7="Sostén principal de hoy","PROTEGER — el flujo de caja que financia todo. Optimizar rentabilidad sin canibalizar.",IF(G7="Sostén principal de mañana","INVERTIR — prioridad máxima. Son el sostén principal en 3-5 años.",IF(G7="Productos productivos","ORDEÑAR — maximizar margen, minimizar inversión. Preparar sucesores.",IF(G7="Productos en desarrollo","ACELERAR — decisión fría: lanzar o matar. No mantener en limbo.",IF(G7="Productos fracasados","ABANDONAR — hoy. Cada día que siguen consumen recursos que faltan en otro lado.",IF(G7="El ayer del sostén principal","PLANIFICAR SALIDA — extraer flujo residual y abandonar en 12-24 meses.",IF(G7="Productos reparables","CIRUGÍA — un solo cambio decisivo. Si no se arregla en 6 meses, al archivo.",IF(G7="Especialidades innecesarias","ELIMINAR — absorben tiempo gerencial desproporcionado al ingreso.",IF(G7="Variaciones especiales innecesarias","CONSOLIDAR — fusionar en la línea principal o eliminar.",IF(G7="Las inversiones en el ego gerencial","MATAR — ""algún día será"" no es estrategia. El ego no paga nómina.",IF(G7="La Cenicienta o los si-tan-sólo","INVESTIGAR — puede esconder un sostén principal de mañana ignorado.","")))))))))))</f>
      </c>
    </row>
    <row r="8" ht="40" customHeight="1" spans="1:9" x14ac:dyDescent="0.25">
      <c r="A8" s="4">
        <v>4</v>
      </c>
      <c r="B8" s="5"/>
      <c r="C8" s="6"/>
      <c r="D8" s="6"/>
      <c r="E8" s="5"/>
      <c r="F8" s="5"/>
      <c r="G8" s="5"/>
      <c r="H8" s="7">
        <f>IF(G8="Sostén principal de hoy","Alta",IF(G8="Sostén principal de mañana","Máxima",IF(G8="Productos productivos","Media",IF(G8="Productos en desarrollo","Alta",IF(G8="Productos fracasados","Abandono",IF(G8="El ayer del sostén principal","Baja",IF(G8="Productos reparables","Media",IF(G8="Especialidades innecesarias","Abandono",IF(G8="Variaciones especiales innecesarias","Abandono",IF(G8="Las inversiones en el ego gerencial","Abandono",IF(G8="La Cenicienta o los si-tan-sólo","Revisar",""))))))))))) </f>
      </c>
      <c r="I8" s="8">
        <f>IF(G8="Sostén principal de hoy","PROTEGER — el flujo de caja que financia todo. Optimizar rentabilidad sin canibalizar.",IF(G8="Sostén principal de mañana","INVERTIR — prioridad máxima. Son el sostén principal en 3-5 años.",IF(G8="Productos productivos","ORDEÑAR — maximizar margen, minimizar inversión. Preparar sucesores.",IF(G8="Productos en desarrollo","ACELERAR — decisión fría: lanzar o matar. No mantener en limbo.",IF(G8="Productos fracasados","ABANDONAR — hoy. Cada día que siguen consumen recursos que faltan en otro lado.",IF(G8="El ayer del sostén principal","PLANIFICAR SALIDA — extraer flujo residual y abandonar en 12-24 meses.",IF(G8="Productos reparables","CIRUGÍA — un solo cambio decisivo. Si no se arregla en 6 meses, al archivo.",IF(G8="Especialidades innecesarias","ELIMINAR — absorben tiempo gerencial desproporcionado al ingreso.",IF(G8="Variaciones especiales innecesarias","CONSOLIDAR — fusionar en la línea principal o eliminar.",IF(G8="Las inversiones en el ego gerencial","MATAR — ""algún día será"" no es estrategia. El ego no paga nómina.",IF(G8="La Cenicienta o los si-tan-sólo","INVESTIGAR — puede esconder un sostén principal de mañana ignorado.","")))))))))))</f>
      </c>
    </row>
    <row r="9" ht="40" customHeight="1" spans="1:9" x14ac:dyDescent="0.25">
      <c r="A9" s="4">
        <v>5</v>
      </c>
      <c r="B9" s="5"/>
      <c r="C9" s="6"/>
      <c r="D9" s="6"/>
      <c r="E9" s="5"/>
      <c r="F9" s="5"/>
      <c r="G9" s="5"/>
      <c r="H9" s="7">
        <f>IF(G9="Sostén principal de hoy","Alta",IF(G9="Sostén principal de mañana","Máxima",IF(G9="Productos productivos","Media",IF(G9="Productos en desarrollo","Alta",IF(G9="Productos fracasados","Abandono",IF(G9="El ayer del sostén principal","Baja",IF(G9="Productos reparables","Media",IF(G9="Especialidades innecesarias","Abandono",IF(G9="Variaciones especiales innecesarias","Abandono",IF(G9="Las inversiones en el ego gerencial","Abandono",IF(G9="La Cenicienta o los si-tan-sólo","Revisar",""))))))))))) </f>
      </c>
      <c r="I9" s="8">
        <f>IF(G9="Sostén principal de hoy","PROTEGER — el flujo de caja que financia todo. Optimizar rentabilidad sin canibalizar.",IF(G9="Sostén principal de mañana","INVERTIR — prioridad máxima. Son el sostén principal en 3-5 años.",IF(G9="Productos productivos","ORDEÑAR — maximizar margen, minimizar inversión. Preparar sucesores.",IF(G9="Productos en desarrollo","ACELERAR — decisión fría: lanzar o matar. No mantener en limbo.",IF(G9="Productos fracasados","ABANDONAR — hoy. Cada día que siguen consumen recursos que faltan en otro lado.",IF(G9="El ayer del sostén principal","PLANIFICAR SALIDA — extraer flujo residual y abandonar en 12-24 meses.",IF(G9="Productos reparables","CIRUGÍA — un solo cambio decisivo. Si no se arregla en 6 meses, al archivo.",IF(G9="Especialidades innecesarias","ELIMINAR — absorben tiempo gerencial desproporcionado al ingreso.",IF(G9="Variaciones especiales innecesarias","CONSOLIDAR — fusionar en la línea principal o eliminar.",IF(G9="Las inversiones en el ego gerencial","MATAR — ""algún día será"" no es estrategia. El ego no paga nómina.",IF(G9="La Cenicienta o los si-tan-sólo","INVESTIGAR — puede esconder un sostén principal de mañana ignorado.","")))))))))))</f>
      </c>
    </row>
    <row r="10" ht="40" customHeight="1" spans="1:9" x14ac:dyDescent="0.25">
      <c r="A10" s="4">
        <v>6</v>
      </c>
      <c r="B10" s="5"/>
      <c r="C10" s="6"/>
      <c r="D10" s="6"/>
      <c r="E10" s="5"/>
      <c r="F10" s="5"/>
      <c r="G10" s="5"/>
      <c r="H10" s="7">
        <f>IF(G10="Sostén principal de hoy","Alta",IF(G10="Sostén principal de mañana","Máxima",IF(G10="Productos productivos","Media",IF(G10="Productos en desarrollo","Alta",IF(G10="Productos fracasados","Abandono",IF(G10="El ayer del sostén principal","Baja",IF(G10="Productos reparables","Media",IF(G10="Especialidades innecesarias","Abandono",IF(G10="Variaciones especiales innecesarias","Abandono",IF(G10="Las inversiones en el ego gerencial","Abandono",IF(G10="La Cenicienta o los si-tan-sólo","Revisar",""))))))))))) </f>
      </c>
      <c r="I10" s="8">
        <f>IF(G10="Sostén principal de hoy","PROTEGER — el flujo de caja que financia todo. Optimizar rentabilidad sin canibalizar.",IF(G10="Sostén principal de mañana","INVERTIR — prioridad máxima. Son el sostén principal en 3-5 años.",IF(G10="Productos productivos","ORDEÑAR — maximizar margen, minimizar inversión. Preparar sucesores.",IF(G10="Productos en desarrollo","ACELERAR — decisión fría: lanzar o matar. No mantener en limbo.",IF(G10="Productos fracasados","ABANDONAR — hoy. Cada día que siguen consumen recursos que faltan en otro lado.",IF(G10="El ayer del sostén principal","PLANIFICAR SALIDA — extraer flujo residual y abandonar en 12-24 meses.",IF(G10="Productos reparables","CIRUGÍA — un solo cambio decisivo. Si no se arregla en 6 meses, al archivo.",IF(G10="Especialidades innecesarias","ELIMINAR — absorben tiempo gerencial desproporcionado al ingreso.",IF(G10="Variaciones especiales innecesarias","CONSOLIDAR — fusionar en la línea principal o eliminar.",IF(G10="Las inversiones en el ego gerencial","MATAR — ""algún día será"" no es estrategia. El ego no paga nómina.",IF(G10="La Cenicienta o los si-tan-sólo","INVESTIGAR — puede esconder un sostén principal de mañana ignorado.","")))))))))))</f>
      </c>
    </row>
    <row r="11" ht="40" customHeight="1" spans="1:9" x14ac:dyDescent="0.25">
      <c r="A11" s="4">
        <v>7</v>
      </c>
      <c r="B11" s="5"/>
      <c r="C11" s="6"/>
      <c r="D11" s="6"/>
      <c r="E11" s="5"/>
      <c r="F11" s="5"/>
      <c r="G11" s="5"/>
      <c r="H11" s="7">
        <f>IF(G11="Sostén principal de hoy","Alta",IF(G11="Sostén principal de mañana","Máxima",IF(G11="Productos productivos","Media",IF(G11="Productos en desarrollo","Alta",IF(G11="Productos fracasados","Abandono",IF(G11="El ayer del sostén principal","Baja",IF(G11="Productos reparables","Media",IF(G11="Especialidades innecesarias","Abandono",IF(G11="Variaciones especiales innecesarias","Abandono",IF(G11="Las inversiones en el ego gerencial","Abandono",IF(G11="La Cenicienta o los si-tan-sólo","Revisar",""))))))))))) </f>
      </c>
      <c r="I11" s="8">
        <f>IF(G11="Sostén principal de hoy","PROTEGER — el flujo de caja que financia todo. Optimizar rentabilidad sin canibalizar.",IF(G11="Sostén principal de mañana","INVERTIR — prioridad máxima. Son el sostén principal en 3-5 años.",IF(G11="Productos productivos","ORDEÑAR — maximizar margen, minimizar inversión. Preparar sucesores.",IF(G11="Productos en desarrollo","ACELERAR — decisión fría: lanzar o matar. No mantener en limbo.",IF(G11="Productos fracasados","ABANDONAR — hoy. Cada día que siguen consumen recursos que faltan en otro lado.",IF(G11="El ayer del sostén principal","PLANIFICAR SALIDA — extraer flujo residual y abandonar en 12-24 meses.",IF(G11="Productos reparables","CIRUGÍA — un solo cambio decisivo. Si no se arregla en 6 meses, al archivo.",IF(G11="Especialidades innecesarias","ELIMINAR — absorben tiempo gerencial desproporcionado al ingreso.",IF(G11="Variaciones especiales innecesarias","CONSOLIDAR — fusionar en la línea principal o eliminar.",IF(G11="Las inversiones en el ego gerencial","MATAR — ""algún día será"" no es estrategia. El ego no paga nómina.",IF(G11="La Cenicienta o los si-tan-sólo","INVESTIGAR — puede esconder un sostén principal de mañana ignorado.","")))))))))))</f>
      </c>
    </row>
    <row r="12" ht="40" customHeight="1" spans="1:9" x14ac:dyDescent="0.25">
      <c r="A12" s="4">
        <v>8</v>
      </c>
      <c r="B12" s="5"/>
      <c r="C12" s="6"/>
      <c r="D12" s="6"/>
      <c r="E12" s="5"/>
      <c r="F12" s="5"/>
      <c r="G12" s="5"/>
      <c r="H12" s="7">
        <f>IF(G12="Sostén principal de hoy","Alta",IF(G12="Sostén principal de mañana","Máxima",IF(G12="Productos productivos","Media",IF(G12="Productos en desarrollo","Alta",IF(G12="Productos fracasados","Abandono",IF(G12="El ayer del sostén principal","Baja",IF(G12="Productos reparables","Media",IF(G12="Especialidades innecesarias","Abandono",IF(G12="Variaciones especiales innecesarias","Abandono",IF(G12="Las inversiones en el ego gerencial","Abandono",IF(G12="La Cenicienta o los si-tan-sólo","Revisar",""))))))))))) </f>
      </c>
      <c r="I12" s="8">
        <f>IF(G12="Sostén principal de hoy","PROTEGER — el flujo de caja que financia todo. Optimizar rentabilidad sin canibalizar.",IF(G12="Sostén principal de mañana","INVERTIR — prioridad máxima. Son el sostén principal en 3-5 años.",IF(G12="Productos productivos","ORDEÑAR — maximizar margen, minimizar inversión. Preparar sucesores.",IF(G12="Productos en desarrollo","ACELERAR — decisión fría: lanzar o matar. No mantener en limbo.",IF(G12="Productos fracasados","ABANDONAR — hoy. Cada día que siguen consumen recursos que faltan en otro lado.",IF(G12="El ayer del sostén principal","PLANIFICAR SALIDA — extraer flujo residual y abandonar en 12-24 meses.",IF(G12="Productos reparables","CIRUGÍA — un solo cambio decisivo. Si no se arregla en 6 meses, al archivo.",IF(G12="Especialidades innecesarias","ELIMINAR — absorben tiempo gerencial desproporcionado al ingreso.",IF(G12="Variaciones especiales innecesarias","CONSOLIDAR — fusionar en la línea principal o eliminar.",IF(G12="Las inversiones en el ego gerencial","MATAR — ""algún día será"" no es estrategia. El ego no paga nómina.",IF(G12="La Cenicienta o los si-tan-sólo","INVESTIGAR — puede esconder un sostén principal de mañana ignorado.","")))))))))))</f>
      </c>
    </row>
    <row r="13" ht="40" customHeight="1" spans="1:9" x14ac:dyDescent="0.25">
      <c r="A13" s="4">
        <v>9</v>
      </c>
      <c r="B13" s="5"/>
      <c r="C13" s="6"/>
      <c r="D13" s="6"/>
      <c r="E13" s="5"/>
      <c r="F13" s="5"/>
      <c r="G13" s="5"/>
      <c r="H13" s="7">
        <f>IF(G13="Sostén principal de hoy","Alta",IF(G13="Sostén principal de mañana","Máxima",IF(G13="Productos productivos","Media",IF(G13="Productos en desarrollo","Alta",IF(G13="Productos fracasados","Abandono",IF(G13="El ayer del sostén principal","Baja",IF(G13="Productos reparables","Media",IF(G13="Especialidades innecesarias","Abandono",IF(G13="Variaciones especiales innecesarias","Abandono",IF(G13="Las inversiones en el ego gerencial","Abandono",IF(G13="La Cenicienta o los si-tan-sólo","Revisar",""))))))))))) </f>
      </c>
      <c r="I13" s="8">
        <f>IF(G13="Sostén principal de hoy","PROTEGER — el flujo de caja que financia todo. Optimizar rentabilidad sin canibalizar.",IF(G13="Sostén principal de mañana","INVERTIR — prioridad máxima. Son el sostén principal en 3-5 años.",IF(G13="Productos productivos","ORDEÑAR — maximizar margen, minimizar inversión. Preparar sucesores.",IF(G13="Productos en desarrollo","ACELERAR — decisión fría: lanzar o matar. No mantener en limbo.",IF(G13="Productos fracasados","ABANDONAR — hoy. Cada día que siguen consumen recursos que faltan en otro lado.",IF(G13="El ayer del sostén principal","PLANIFICAR SALIDA — extraer flujo residual y abandonar en 12-24 meses.",IF(G13="Productos reparables","CIRUGÍA — un solo cambio decisivo. Si no se arregla en 6 meses, al archivo.",IF(G13="Especialidades innecesarias","ELIMINAR — absorben tiempo gerencial desproporcionado al ingreso.",IF(G13="Variaciones especiales innecesarias","CONSOLIDAR — fusionar en la línea principal o eliminar.",IF(G13="Las inversiones en el ego gerencial","MATAR — ""algún día será"" no es estrategia. El ego no paga nómina.",IF(G13="La Cenicienta o los si-tan-sólo","INVESTIGAR — puede esconder un sostén principal de mañana ignorado.","")))))))))))</f>
      </c>
    </row>
    <row r="14" ht="40" customHeight="1" spans="1:9" x14ac:dyDescent="0.25">
      <c r="A14" s="4">
        <v>10</v>
      </c>
      <c r="B14" s="5"/>
      <c r="C14" s="6"/>
      <c r="D14" s="6"/>
      <c r="E14" s="5"/>
      <c r="F14" s="5"/>
      <c r="G14" s="5"/>
      <c r="H14" s="7">
        <f>IF(G14="Sostén principal de hoy","Alta",IF(G14="Sostén principal de mañana","Máxima",IF(G14="Productos productivos","Media",IF(G14="Productos en desarrollo","Alta",IF(G14="Productos fracasados","Abandono",IF(G14="El ayer del sostén principal","Baja",IF(G14="Productos reparables","Media",IF(G14="Especialidades innecesarias","Abandono",IF(G14="Variaciones especiales innecesarias","Abandono",IF(G14="Las inversiones en el ego gerencial","Abandono",IF(G14="La Cenicienta o los si-tan-sólo","Revisar",""))))))))))) </f>
      </c>
      <c r="I14" s="8">
        <f>IF(G14="Sostén principal de hoy","PROTEGER — el flujo de caja que financia todo. Optimizar rentabilidad sin canibalizar.",IF(G14="Sostén principal de mañana","INVERTIR — prioridad máxima. Son el sostén principal en 3-5 años.",IF(G14="Productos productivos","ORDEÑAR — maximizar margen, minimizar inversión. Preparar sucesores.",IF(G14="Productos en desarrollo","ACELERAR — decisión fría: lanzar o matar. No mantener en limbo.",IF(G14="Productos fracasados","ABANDONAR — hoy. Cada día que siguen consumen recursos que faltan en otro lado.",IF(G14="El ayer del sostén principal","PLANIFICAR SALIDA — extraer flujo residual y abandonar en 12-24 meses.",IF(G14="Productos reparables","CIRUGÍA — un solo cambio decisivo. Si no se arregla en 6 meses, al archivo.",IF(G14="Especialidades innecesarias","ELIMINAR — absorben tiempo gerencial desproporcionado al ingreso.",IF(G14="Variaciones especiales innecesarias","CONSOLIDAR — fusionar en la línea principal o eliminar.",IF(G14="Las inversiones en el ego gerencial","MATAR — ""algún día será"" no es estrategia. El ego no paga nómina.",IF(G14="La Cenicienta o los si-tan-sólo","INVESTIGAR — puede esconder un sostén principal de mañana ignorado.","")))))))))))</f>
      </c>
    </row>
    <row r="15" ht="40" customHeight="1" spans="1:9" x14ac:dyDescent="0.25">
      <c r="A15" s="4">
        <v>11</v>
      </c>
      <c r="B15" s="5"/>
      <c r="C15" s="6"/>
      <c r="D15" s="6"/>
      <c r="E15" s="5"/>
      <c r="F15" s="5"/>
      <c r="G15" s="5"/>
      <c r="H15" s="7">
        <f>IF(G15="Sostén principal de hoy","Alta",IF(G15="Sostén principal de mañana","Máxima",IF(G15="Productos productivos","Media",IF(G15="Productos en desarrollo","Alta",IF(G15="Productos fracasados","Abandono",IF(G15="El ayer del sostén principal","Baja",IF(G15="Productos reparables","Media",IF(G15="Especialidades innecesarias","Abandono",IF(G15="Variaciones especiales innecesarias","Abandono",IF(G15="Las inversiones en el ego gerencial","Abandono",IF(G15="La Cenicienta o los si-tan-sólo","Revisar",""))))))))))) </f>
      </c>
      <c r="I15" s="8">
        <f>IF(G15="Sostén principal de hoy","PROTEGER — el flujo de caja que financia todo. Optimizar rentabilidad sin canibalizar.",IF(G15="Sostén principal de mañana","INVERTIR — prioridad máxima. Son el sostén principal en 3-5 años.",IF(G15="Productos productivos","ORDEÑAR — maximizar margen, minimizar inversión. Preparar sucesores.",IF(G15="Productos en desarrollo","ACELERAR — decisión fría: lanzar o matar. No mantener en limbo.",IF(G15="Productos fracasados","ABANDONAR — hoy. Cada día que siguen consumen recursos que faltan en otro lado.",IF(G15="El ayer del sostén principal","PLANIFICAR SALIDA — extraer flujo residual y abandonar en 12-24 meses.",IF(G15="Productos reparables","CIRUGÍA — un solo cambio decisivo. Si no se arregla en 6 meses, al archivo.",IF(G15="Especialidades innecesarias","ELIMINAR — absorben tiempo gerencial desproporcionado al ingreso.",IF(G15="Variaciones especiales innecesarias","CONSOLIDAR — fusionar en la línea principal o eliminar.",IF(G15="Las inversiones en el ego gerencial","MATAR — ""algún día será"" no es estrategia. El ego no paga nómina.",IF(G15="La Cenicienta o los si-tan-sólo","INVESTIGAR — puede esconder un sostén principal de mañana ignorado.","")))))))))))</f>
      </c>
    </row>
    <row r="16" ht="40" customHeight="1" spans="1:9" x14ac:dyDescent="0.25">
      <c r="A16" s="4">
        <v>12</v>
      </c>
      <c r="B16" s="5"/>
      <c r="C16" s="6"/>
      <c r="D16" s="6"/>
      <c r="E16" s="5"/>
      <c r="F16" s="5"/>
      <c r="G16" s="5"/>
      <c r="H16" s="7">
        <f>IF(G16="Sostén principal de hoy","Alta",IF(G16="Sostén principal de mañana","Máxima",IF(G16="Productos productivos","Media",IF(G16="Productos en desarrollo","Alta",IF(G16="Productos fracasados","Abandono",IF(G16="El ayer del sostén principal","Baja",IF(G16="Productos reparables","Media",IF(G16="Especialidades innecesarias","Abandono",IF(G16="Variaciones especiales innecesarias","Abandono",IF(G16="Las inversiones en el ego gerencial","Abandono",IF(G16="La Cenicienta o los si-tan-sólo","Revisar",""))))))))))) </f>
      </c>
      <c r="I16" s="8">
        <f>IF(G16="Sostén principal de hoy","PROTEGER — el flujo de caja que financia todo. Optimizar rentabilidad sin canibalizar.",IF(G16="Sostén principal de mañana","INVERTIR — prioridad máxima. Son el sostén principal en 3-5 años.",IF(G16="Productos productivos","ORDEÑAR — maximizar margen, minimizar inversión. Preparar sucesores.",IF(G16="Productos en desarrollo","ACELERAR — decisión fría: lanzar o matar. No mantener en limbo.",IF(G16="Productos fracasados","ABANDONAR — hoy. Cada día que siguen consumen recursos que faltan en otro lado.",IF(G16="El ayer del sostén principal","PLANIFICAR SALIDA — extraer flujo residual y abandonar en 12-24 meses.",IF(G16="Productos reparables","CIRUGÍA — un solo cambio decisivo. Si no se arregla en 6 meses, al archivo.",IF(G16="Especialidades innecesarias","ELIMINAR — absorben tiempo gerencial desproporcionado al ingreso.",IF(G16="Variaciones especiales innecesarias","CONSOLIDAR — fusionar en la línea principal o eliminar.",IF(G16="Las inversiones en el ego gerencial","MATAR — ""algún día será"" no es estrategia. El ego no paga nómina.",IF(G16="La Cenicienta o los si-tan-sólo","INVESTIGAR — puede esconder un sostén principal de mañana ignorado.","")))))))))))</f>
      </c>
    </row>
    <row r="17" ht="40" customHeight="1" spans="1:9" x14ac:dyDescent="0.25">
      <c r="A17" s="4">
        <v>13</v>
      </c>
      <c r="B17" s="5"/>
      <c r="C17" s="6"/>
      <c r="D17" s="6"/>
      <c r="E17" s="5"/>
      <c r="F17" s="5"/>
      <c r="G17" s="5"/>
      <c r="H17" s="7">
        <f>IF(G17="Sostén principal de hoy","Alta",IF(G17="Sostén principal de mañana","Máxima",IF(G17="Productos productivos","Media",IF(G17="Productos en desarrollo","Alta",IF(G17="Productos fracasados","Abandono",IF(G17="El ayer del sostén principal","Baja",IF(G17="Productos reparables","Media",IF(G17="Especialidades innecesarias","Abandono",IF(G17="Variaciones especiales innecesarias","Abandono",IF(G17="Las inversiones en el ego gerencial","Abandono",IF(G17="La Cenicienta o los si-tan-sólo","Revisar",""))))))))))) </f>
      </c>
      <c r="I17" s="8">
        <f>IF(G17="Sostén principal de hoy","PROTEGER — el flujo de caja que financia todo. Optimizar rentabilidad sin canibalizar.",IF(G17="Sostén principal de mañana","INVERTIR — prioridad máxima. Son el sostén principal en 3-5 años.",IF(G17="Productos productivos","ORDEÑAR — maximizar margen, minimizar inversión. Preparar sucesores.",IF(G17="Productos en desarrollo","ACELERAR — decisión fría: lanzar o matar. No mantener en limbo.",IF(G17="Productos fracasados","ABANDONAR — hoy. Cada día que siguen consumen recursos que faltan en otro lado.",IF(G17="El ayer del sostén principal","PLANIFICAR SALIDA — extraer flujo residual y abandonar en 12-24 meses.",IF(G17="Productos reparables","CIRUGÍA — un solo cambio decisivo. Si no se arregla en 6 meses, al archivo.",IF(G17="Especialidades innecesarias","ELIMINAR — absorben tiempo gerencial desproporcionado al ingreso.",IF(G17="Variaciones especiales innecesarias","CONSOLIDAR — fusionar en la línea principal o eliminar.",IF(G17="Las inversiones en el ego gerencial","MATAR — ""algún día será"" no es estrategia. El ego no paga nómina.",IF(G17="La Cenicienta o los si-tan-sólo","INVESTIGAR — puede esconder un sostén principal de mañana ignorado.","")))))))))))</f>
      </c>
    </row>
    <row r="18" ht="40" customHeight="1" spans="1:9" x14ac:dyDescent="0.25">
      <c r="A18" s="4">
        <v>14</v>
      </c>
      <c r="B18" s="5"/>
      <c r="C18" s="6"/>
      <c r="D18" s="6"/>
      <c r="E18" s="5"/>
      <c r="F18" s="5"/>
      <c r="G18" s="5"/>
      <c r="H18" s="7">
        <f>IF(G18="Sostén principal de hoy","Alta",IF(G18="Sostén principal de mañana","Máxima",IF(G18="Productos productivos","Media",IF(G18="Productos en desarrollo","Alta",IF(G18="Productos fracasados","Abandono",IF(G18="El ayer del sostén principal","Baja",IF(G18="Productos reparables","Media",IF(G18="Especialidades innecesarias","Abandono",IF(G18="Variaciones especiales innecesarias","Abandono",IF(G18="Las inversiones en el ego gerencial","Abandono",IF(G18="La Cenicienta o los si-tan-sólo","Revisar",""))))))))))) </f>
      </c>
      <c r="I18" s="8">
        <f>IF(G18="Sostén principal de hoy","PROTEGER — el flujo de caja que financia todo. Optimizar rentabilidad sin canibalizar.",IF(G18="Sostén principal de mañana","INVERTIR — prioridad máxima. Son el sostén principal en 3-5 años.",IF(G18="Productos productivos","ORDEÑAR — maximizar margen, minimizar inversión. Preparar sucesores.",IF(G18="Productos en desarrollo","ACELERAR — decisión fría: lanzar o matar. No mantener en limbo.",IF(G18="Productos fracasados","ABANDONAR — hoy. Cada día que siguen consumen recursos que faltan en otro lado.",IF(G18="El ayer del sostén principal","PLANIFICAR SALIDA — extraer flujo residual y abandonar en 12-24 meses.",IF(G18="Productos reparables","CIRUGÍA — un solo cambio decisivo. Si no se arregla en 6 meses, al archivo.",IF(G18="Especialidades innecesarias","ELIMINAR — absorben tiempo gerencial desproporcionado al ingreso.",IF(G18="Variaciones especiales innecesarias","CONSOLIDAR — fusionar en la línea principal o eliminar.",IF(G18="Las inversiones en el ego gerencial","MATAR — ""algún día será"" no es estrategia. El ego no paga nómina.",IF(G18="La Cenicienta o los si-tan-sólo","INVESTIGAR — puede esconder un sostén principal de mañana ignorado.","")))))))))))</f>
      </c>
    </row>
    <row r="19" ht="40" customHeight="1" spans="1:9" x14ac:dyDescent="0.25">
      <c r="A19" s="4">
        <v>15</v>
      </c>
      <c r="B19" s="5"/>
      <c r="C19" s="6"/>
      <c r="D19" s="6"/>
      <c r="E19" s="5"/>
      <c r="F19" s="5"/>
      <c r="G19" s="5"/>
      <c r="H19" s="7">
        <f>IF(G19="Sostén principal de hoy","Alta",IF(G19="Sostén principal de mañana","Máxima",IF(G19="Productos productivos","Media",IF(G19="Productos en desarrollo","Alta",IF(G19="Productos fracasados","Abandono",IF(G19="El ayer del sostén principal","Baja",IF(G19="Productos reparables","Media",IF(G19="Especialidades innecesarias","Abandono",IF(G19="Variaciones especiales innecesarias","Abandono",IF(G19="Las inversiones en el ego gerencial","Abandono",IF(G19="La Cenicienta o los si-tan-sólo","Revisar",""))))))))))) </f>
      </c>
      <c r="I19" s="8">
        <f>IF(G19="Sostén principal de hoy","PROTEGER — el flujo de caja que financia todo. Optimizar rentabilidad sin canibalizar.",IF(G19="Sostén principal de mañana","INVERTIR — prioridad máxima. Son el sostén principal en 3-5 años.",IF(G19="Productos productivos","ORDEÑAR — maximizar margen, minimizar inversión. Preparar sucesores.",IF(G19="Productos en desarrollo","ACELERAR — decisión fría: lanzar o matar. No mantener en limbo.",IF(G19="Productos fracasados","ABANDONAR — hoy. Cada día que siguen consumen recursos que faltan en otro lado.",IF(G19="El ayer del sostén principal","PLANIFICAR SALIDA — extraer flujo residual y abandonar en 12-24 meses.",IF(G19="Productos reparables","CIRUGÍA — un solo cambio decisivo. Si no se arregla en 6 meses, al archivo.",IF(G19="Especialidades innecesarias","ELIMINAR — absorben tiempo gerencial desproporcionado al ingreso.",IF(G19="Variaciones especiales innecesarias","CONSOLIDAR — fusionar en la línea principal o eliminar.",IF(G19="Las inversiones en el ego gerencial","MATAR — ""algún día será"" no es estrategia. El ego no paga nómina.",IF(G19="La Cenicienta o los si-tan-sólo","INVESTIGAR — puede esconder un sostén principal de mañana ignorado.","")))))))))))</f>
      </c>
    </row>
    <row r="20" ht="40" customHeight="1" spans="1:9" x14ac:dyDescent="0.25">
      <c r="A20" s="4">
        <v>16</v>
      </c>
      <c r="B20" s="5"/>
      <c r="C20" s="6"/>
      <c r="D20" s="6"/>
      <c r="E20" s="5"/>
      <c r="F20" s="5"/>
      <c r="G20" s="5"/>
      <c r="H20" s="7">
        <f>IF(G20="Sostén principal de hoy","Alta",IF(G20="Sostén principal de mañana","Máxima",IF(G20="Productos productivos","Media",IF(G20="Productos en desarrollo","Alta",IF(G20="Productos fracasados","Abandono",IF(G20="El ayer del sostén principal","Baja",IF(G20="Productos reparables","Media",IF(G20="Especialidades innecesarias","Abandono",IF(G20="Variaciones especiales innecesarias","Abandono",IF(G20="Las inversiones en el ego gerencial","Abandono",IF(G20="La Cenicienta o los si-tan-sólo","Revisar",""))))))))))) </f>
      </c>
      <c r="I20" s="8">
        <f>IF(G20="Sostén principal de hoy","PROTEGER — el flujo de caja que financia todo. Optimizar rentabilidad sin canibalizar.",IF(G20="Sostén principal de mañana","INVERTIR — prioridad máxima. Son el sostén principal en 3-5 años.",IF(G20="Productos productivos","ORDEÑAR — maximizar margen, minimizar inversión. Preparar sucesores.",IF(G20="Productos en desarrollo","ACELERAR — decisión fría: lanzar o matar. No mantener en limbo.",IF(G20="Productos fracasados","ABANDONAR — hoy. Cada día que siguen consumen recursos que faltan en otro lado.",IF(G20="El ayer del sostén principal","PLANIFICAR SALIDA — extraer flujo residual y abandonar en 12-24 meses.",IF(G20="Productos reparables","CIRUGÍA — un solo cambio decisivo. Si no se arregla en 6 meses, al archivo.",IF(G20="Especialidades innecesarias","ELIMINAR — absorben tiempo gerencial desproporcionado al ingreso.",IF(G20="Variaciones especiales innecesarias","CONSOLIDAR — fusionar en la línea principal o eliminar.",IF(G20="Las inversiones en el ego gerencial","MATAR — ""algún día será"" no es estrategia. El ego no paga nómina.",IF(G20="La Cenicienta o los si-tan-sólo","INVESTIGAR — puede esconder un sostén principal de mañana ignorado.","")))))))))))</f>
      </c>
    </row>
    <row r="21" ht="40" customHeight="1" spans="1:9" x14ac:dyDescent="0.25">
      <c r="A21" s="4">
        <v>17</v>
      </c>
      <c r="B21" s="5"/>
      <c r="C21" s="6"/>
      <c r="D21" s="6"/>
      <c r="E21" s="5"/>
      <c r="F21" s="5"/>
      <c r="G21" s="5"/>
      <c r="H21" s="7">
        <f>IF(G21="Sostén principal de hoy","Alta",IF(G21="Sostén principal de mañana","Máxima",IF(G21="Productos productivos","Media",IF(G21="Productos en desarrollo","Alta",IF(G21="Productos fracasados","Abandono",IF(G21="El ayer del sostén principal","Baja",IF(G21="Productos reparables","Media",IF(G21="Especialidades innecesarias","Abandono",IF(G21="Variaciones especiales innecesarias","Abandono",IF(G21="Las inversiones en el ego gerencial","Abandono",IF(G21="La Cenicienta o los si-tan-sólo","Revisar",""))))))))))) </f>
      </c>
      <c r="I21" s="8">
        <f>IF(G21="Sostén principal de hoy","PROTEGER — el flujo de caja que financia todo. Optimizar rentabilidad sin canibalizar.",IF(G21="Sostén principal de mañana","INVERTIR — prioridad máxima. Son el sostén principal en 3-5 años.",IF(G21="Productos productivos","ORDEÑAR — maximizar margen, minimizar inversión. Preparar sucesores.",IF(G21="Productos en desarrollo","ACELERAR — decisión fría: lanzar o matar. No mantener en limbo.",IF(G21="Productos fracasados","ABANDONAR — hoy. Cada día que siguen consumen recursos que faltan en otro lado.",IF(G21="El ayer del sostén principal","PLANIFICAR SALIDA — extraer flujo residual y abandonar en 12-24 meses.",IF(G21="Productos reparables","CIRUGÍA — un solo cambio decisivo. Si no se arregla en 6 meses, al archivo.",IF(G21="Especialidades innecesarias","ELIMINAR — absorben tiempo gerencial desproporcionado al ingreso.",IF(G21="Variaciones especiales innecesarias","CONSOLIDAR — fusionar en la línea principal o eliminar.",IF(G21="Las inversiones en el ego gerencial","MATAR — ""algún día será"" no es estrategia. El ego no paga nómina.",IF(G21="La Cenicienta o los si-tan-sólo","INVESTIGAR — puede esconder un sostén principal de mañana ignorado.","")))))))))))</f>
      </c>
    </row>
    <row r="22" ht="40" customHeight="1" spans="1:9" x14ac:dyDescent="0.25">
      <c r="A22" s="4">
        <v>18</v>
      </c>
      <c r="B22" s="5"/>
      <c r="C22" s="6"/>
      <c r="D22" s="6"/>
      <c r="E22" s="5"/>
      <c r="F22" s="5"/>
      <c r="G22" s="5"/>
      <c r="H22" s="7">
        <f>IF(G22="Sostén principal de hoy","Alta",IF(G22="Sostén principal de mañana","Máxima",IF(G22="Productos productivos","Media",IF(G22="Productos en desarrollo","Alta",IF(G22="Productos fracasados","Abandono",IF(G22="El ayer del sostén principal","Baja",IF(G22="Productos reparables","Media",IF(G22="Especialidades innecesarias","Abandono",IF(G22="Variaciones especiales innecesarias","Abandono",IF(G22="Las inversiones en el ego gerencial","Abandono",IF(G22="La Cenicienta o los si-tan-sólo","Revisar",""))))))))))) </f>
      </c>
      <c r="I22" s="8">
        <f>IF(G22="Sostén principal de hoy","PROTEGER — el flujo de caja que financia todo. Optimizar rentabilidad sin canibalizar.",IF(G22="Sostén principal de mañana","INVERTIR — prioridad máxima. Son el sostén principal en 3-5 años.",IF(G22="Productos productivos","ORDEÑAR — maximizar margen, minimizar inversión. Preparar sucesores.",IF(G22="Productos en desarrollo","ACELERAR — decisión fría: lanzar o matar. No mantener en limbo.",IF(G22="Productos fracasados","ABANDONAR — hoy. Cada día que siguen consumen recursos que faltan en otro lado.",IF(G22="El ayer del sostén principal","PLANIFICAR SALIDA — extraer flujo residual y abandonar en 12-24 meses.",IF(G22="Productos reparables","CIRUGÍA — un solo cambio decisivo. Si no se arregla en 6 meses, al archivo.",IF(G22="Especialidades innecesarias","ELIMINAR — absorben tiempo gerencial desproporcionado al ingreso.",IF(G22="Variaciones especiales innecesarias","CONSOLIDAR — fusionar en la línea principal o eliminar.",IF(G22="Las inversiones en el ego gerencial","MATAR — ""algún día será"" no es estrategia. El ego no paga nómina.",IF(G22="La Cenicienta o los si-tan-sólo","INVESTIGAR — puede esconder un sostén principal de mañana ignorado.","")))))))))))</f>
      </c>
    </row>
    <row r="23" ht="40" customHeight="1" spans="1:9" x14ac:dyDescent="0.25">
      <c r="A23" s="4">
        <v>19</v>
      </c>
      <c r="B23" s="5"/>
      <c r="C23" s="6"/>
      <c r="D23" s="6"/>
      <c r="E23" s="5"/>
      <c r="F23" s="5"/>
      <c r="G23" s="5"/>
      <c r="H23" s="7">
        <f>IF(G23="Sostén principal de hoy","Alta",IF(G23="Sostén principal de mañana","Máxima",IF(G23="Productos productivos","Media",IF(G23="Productos en desarrollo","Alta",IF(G23="Productos fracasados","Abandono",IF(G23="El ayer del sostén principal","Baja",IF(G23="Productos reparables","Media",IF(G23="Especialidades innecesarias","Abandono",IF(G23="Variaciones especiales innecesarias","Abandono",IF(G23="Las inversiones en el ego gerencial","Abandono",IF(G23="La Cenicienta o los si-tan-sólo","Revisar",""))))))))))) </f>
      </c>
      <c r="I23" s="8">
        <f>IF(G23="Sostén principal de hoy","PROTEGER — el flujo de caja que financia todo. Optimizar rentabilidad sin canibalizar.",IF(G23="Sostén principal de mañana","INVERTIR — prioridad máxima. Son el sostén principal en 3-5 años.",IF(G23="Productos productivos","ORDEÑAR — maximizar margen, minimizar inversión. Preparar sucesores.",IF(G23="Productos en desarrollo","ACELERAR — decisión fría: lanzar o matar. No mantener en limbo.",IF(G23="Productos fracasados","ABANDONAR — hoy. Cada día que siguen consumen recursos que faltan en otro lado.",IF(G23="El ayer del sostén principal","PLANIFICAR SALIDA — extraer flujo residual y abandonar en 12-24 meses.",IF(G23="Productos reparables","CIRUGÍA — un solo cambio decisivo. Si no se arregla en 6 meses, al archivo.",IF(G23="Especialidades innecesarias","ELIMINAR — absorben tiempo gerencial desproporcionado al ingreso.",IF(G23="Variaciones especiales innecesarias","CONSOLIDAR — fusionar en la línea principal o eliminar.",IF(G23="Las inversiones en el ego gerencial","MATAR — ""algún día será"" no es estrategia. El ego no paga nómina.",IF(G23="La Cenicienta o los si-tan-sólo","INVESTIGAR — puede esconder un sostén principal de mañana ignorado.","")))))))))))</f>
      </c>
    </row>
    <row r="24" ht="40" customHeight="1" spans="1:9" x14ac:dyDescent="0.25">
      <c r="A24" s="4">
        <v>20</v>
      </c>
      <c r="B24" s="5"/>
      <c r="C24" s="6"/>
      <c r="D24" s="6"/>
      <c r="E24" s="5"/>
      <c r="F24" s="5"/>
      <c r="G24" s="5"/>
      <c r="H24" s="7">
        <f>IF(G24="Sostén principal de hoy","Alta",IF(G24="Sostén principal de mañana","Máxima",IF(G24="Productos productivos","Media",IF(G24="Productos en desarrollo","Alta",IF(G24="Productos fracasados","Abandono",IF(G24="El ayer del sostén principal","Baja",IF(G24="Productos reparables","Media",IF(G24="Especialidades innecesarias","Abandono",IF(G24="Variaciones especiales innecesarias","Abandono",IF(G24="Las inversiones en el ego gerencial","Abandono",IF(G24="La Cenicienta o los si-tan-sólo","Revisar",""))))))))))) </f>
      </c>
      <c r="I24" s="8">
        <f>IF(G24="Sostén principal de hoy","PROTEGER — el flujo de caja que financia todo. Optimizar rentabilidad sin canibalizar.",IF(G24="Sostén principal de mañana","INVERTIR — prioridad máxima. Son el sostén principal en 3-5 años.",IF(G24="Productos productivos","ORDEÑAR — maximizar margen, minimizar inversión. Preparar sucesores.",IF(G24="Productos en desarrollo","ACELERAR — decisión fría: lanzar o matar. No mantener en limbo.",IF(G24="Productos fracasados","ABANDONAR — hoy. Cada día que siguen consumen recursos que faltan en otro lado.",IF(G24="El ayer del sostén principal","PLANIFICAR SALIDA — extraer flujo residual y abandonar en 12-24 meses.",IF(G24="Productos reparables","CIRUGÍA — un solo cambio decisivo. Si no se arregla en 6 meses, al archivo.",IF(G24="Especialidades innecesarias","ELIMINAR — absorben tiempo gerencial desproporcionado al ingreso.",IF(G24="Variaciones especiales innecesarias","CONSOLIDAR — fusionar en la línea principal o eliminar.",IF(G24="Las inversiones en el ego gerencial","MATAR — ""algún día será"" no es estrategia. El ego no paga nómina.",IF(G24="La Cenicienta o los si-tan-sólo","INVESTIGAR — puede esconder un sostén principal de mañana ignorado.","")))))))))))</f>
      </c>
    </row>
    <row r="25" ht="40" customHeight="1" spans="1:9" x14ac:dyDescent="0.25">
      <c r="A25" s="4">
        <v>21</v>
      </c>
      <c r="B25" s="5"/>
      <c r="C25" s="6"/>
      <c r="D25" s="6"/>
      <c r="E25" s="5"/>
      <c r="F25" s="5"/>
      <c r="G25" s="5"/>
      <c r="H25" s="7">
        <f>IF(G25="Sostén principal de hoy","Alta",IF(G25="Sostén principal de mañana","Máxima",IF(G25="Productos productivos","Media",IF(G25="Productos en desarrollo","Alta",IF(G25="Productos fracasados","Abandono",IF(G25="El ayer del sostén principal","Baja",IF(G25="Productos reparables","Media",IF(G25="Especialidades innecesarias","Abandono",IF(G25="Variaciones especiales innecesarias","Abandono",IF(G25="Las inversiones en el ego gerencial","Abandono",IF(G25="La Cenicienta o los si-tan-sólo","Revisar",""))))))))))) </f>
      </c>
      <c r="I25" s="8">
        <f>IF(G25="Sostén principal de hoy","PROTEGER — el flujo de caja que financia todo. Optimizar rentabilidad sin canibalizar.",IF(G25="Sostén principal de mañana","INVERTIR — prioridad máxima. Son el sostén principal en 3-5 años.",IF(G25="Productos productivos","ORDEÑAR — maximizar margen, minimizar inversión. Preparar sucesores.",IF(G25="Productos en desarrollo","ACELERAR — decisión fría: lanzar o matar. No mantener en limbo.",IF(G25="Productos fracasados","ABANDONAR — hoy. Cada día que siguen consumen recursos que faltan en otro lado.",IF(G25="El ayer del sostén principal","PLANIFICAR SALIDA — extraer flujo residual y abandonar en 12-24 meses.",IF(G25="Productos reparables","CIRUGÍA — un solo cambio decisivo. Si no se arregla en 6 meses, al archivo.",IF(G25="Especialidades innecesarias","ELIMINAR — absorben tiempo gerencial desproporcionado al ingreso.",IF(G25="Variaciones especiales innecesarias","CONSOLIDAR — fusionar en la línea principal o eliminar.",IF(G25="Las inversiones en el ego gerencial","MATAR — ""algún día será"" no es estrategia. El ego no paga nómina.",IF(G25="La Cenicienta o los si-tan-sólo","INVESTIGAR — puede esconder un sostén principal de mañana ignorado.","")))))))))))</f>
      </c>
    </row>
    <row r="26" ht="40" customHeight="1" spans="1:9" x14ac:dyDescent="0.25">
      <c r="A26" s="4">
        <v>22</v>
      </c>
      <c r="B26" s="5"/>
      <c r="C26" s="6"/>
      <c r="D26" s="6"/>
      <c r="E26" s="5"/>
      <c r="F26" s="5"/>
      <c r="G26" s="5"/>
      <c r="H26" s="7">
        <f>IF(G26="Sostén principal de hoy","Alta",IF(G26="Sostén principal de mañana","Máxima",IF(G26="Productos productivos","Media",IF(G26="Productos en desarrollo","Alta",IF(G26="Productos fracasados","Abandono",IF(G26="El ayer del sostén principal","Baja",IF(G26="Productos reparables","Media",IF(G26="Especialidades innecesarias","Abandono",IF(G26="Variaciones especiales innecesarias","Abandono",IF(G26="Las inversiones en el ego gerencial","Abandono",IF(G26="La Cenicienta o los si-tan-sólo","Revisar",""))))))))))) </f>
      </c>
      <c r="I26" s="8">
        <f>IF(G26="Sostén principal de hoy","PROTEGER — el flujo de caja que financia todo. Optimizar rentabilidad sin canibalizar.",IF(G26="Sostén principal de mañana","INVERTIR — prioridad máxima. Son el sostén principal en 3-5 años.",IF(G26="Productos productivos","ORDEÑAR — maximizar margen, minimizar inversión. Preparar sucesores.",IF(G26="Productos en desarrollo","ACELERAR — decisión fría: lanzar o matar. No mantener en limbo.",IF(G26="Productos fracasados","ABANDONAR — hoy. Cada día que siguen consumen recursos que faltan en otro lado.",IF(G26="El ayer del sostén principal","PLANIFICAR SALIDA — extraer flujo residual y abandonar en 12-24 meses.",IF(G26="Productos reparables","CIRUGÍA — un solo cambio decisivo. Si no se arregla en 6 meses, al archivo.",IF(G26="Especialidades innecesarias","ELIMINAR — absorben tiempo gerencial desproporcionado al ingreso.",IF(G26="Variaciones especiales innecesarias","CONSOLIDAR — fusionar en la línea principal o eliminar.",IF(G26="Las inversiones en el ego gerencial","MATAR — ""algún día será"" no es estrategia. El ego no paga nómina.",IF(G26="La Cenicienta o los si-tan-sólo","INVESTIGAR — puede esconder un sostén principal de mañana ignorado.","")))))))))))</f>
      </c>
    </row>
    <row r="27" ht="40" customHeight="1" spans="1:9" x14ac:dyDescent="0.25">
      <c r="A27" s="4">
        <v>23</v>
      </c>
      <c r="B27" s="5"/>
      <c r="C27" s="6"/>
      <c r="D27" s="6"/>
      <c r="E27" s="5"/>
      <c r="F27" s="5"/>
      <c r="G27" s="5"/>
      <c r="H27" s="7">
        <f>IF(G27="Sostén principal de hoy","Alta",IF(G27="Sostén principal de mañana","Máxima",IF(G27="Productos productivos","Media",IF(G27="Productos en desarrollo","Alta",IF(G27="Productos fracasados","Abandono",IF(G27="El ayer del sostén principal","Baja",IF(G27="Productos reparables","Media",IF(G27="Especialidades innecesarias","Abandono",IF(G27="Variaciones especiales innecesarias","Abandono",IF(G27="Las inversiones en el ego gerencial","Abandono",IF(G27="La Cenicienta o los si-tan-sólo","Revisar",""))))))))))) </f>
      </c>
      <c r="I27" s="8">
        <f>IF(G27="Sostén principal de hoy","PROTEGER — el flujo de caja que financia todo. Optimizar rentabilidad sin canibalizar.",IF(G27="Sostén principal de mañana","INVERTIR — prioridad máxima. Son el sostén principal en 3-5 años.",IF(G27="Productos productivos","ORDEÑAR — maximizar margen, minimizar inversión. Preparar sucesores.",IF(G27="Productos en desarrollo","ACELERAR — decisión fría: lanzar o matar. No mantener en limbo.",IF(G27="Productos fracasados","ABANDONAR — hoy. Cada día que siguen consumen recursos que faltan en otro lado.",IF(G27="El ayer del sostén principal","PLANIFICAR SALIDA — extraer flujo residual y abandonar en 12-24 meses.",IF(G27="Productos reparables","CIRUGÍA — un solo cambio decisivo. Si no se arregla en 6 meses, al archivo.",IF(G27="Especialidades innecesarias","ELIMINAR — absorben tiempo gerencial desproporcionado al ingreso.",IF(G27="Variaciones especiales innecesarias","CONSOLIDAR — fusionar en la línea principal o eliminar.",IF(G27="Las inversiones en el ego gerencial","MATAR — ""algún día será"" no es estrategia. El ego no paga nómina.",IF(G27="La Cenicienta o los si-tan-sólo","INVESTIGAR — puede esconder un sostén principal de mañana ignorado.","")))))))))))</f>
      </c>
    </row>
    <row r="28" ht="40" customHeight="1" spans="1:9" x14ac:dyDescent="0.25">
      <c r="A28" s="4">
        <v>24</v>
      </c>
      <c r="B28" s="5"/>
      <c r="C28" s="6"/>
      <c r="D28" s="6"/>
      <c r="E28" s="5"/>
      <c r="F28" s="5"/>
      <c r="G28" s="5"/>
      <c r="H28" s="7">
        <f>IF(G28="Sostén principal de hoy","Alta",IF(G28="Sostén principal de mañana","Máxima",IF(G28="Productos productivos","Media",IF(G28="Productos en desarrollo","Alta",IF(G28="Productos fracasados","Abandono",IF(G28="El ayer del sostén principal","Baja",IF(G28="Productos reparables","Media",IF(G28="Especialidades innecesarias","Abandono",IF(G28="Variaciones especiales innecesarias","Abandono",IF(G28="Las inversiones en el ego gerencial","Abandono",IF(G28="La Cenicienta o los si-tan-sólo","Revisar",""))))))))))) </f>
      </c>
      <c r="I28" s="8">
        <f>IF(G28="Sostén principal de hoy","PROTEGER — el flujo de caja que financia todo. Optimizar rentabilidad sin canibalizar.",IF(G28="Sostén principal de mañana","INVERTIR — prioridad máxima. Son el sostén principal en 3-5 años.",IF(G28="Productos productivos","ORDEÑAR — maximizar margen, minimizar inversión. Preparar sucesores.",IF(G28="Productos en desarrollo","ACELERAR — decisión fría: lanzar o matar. No mantener en limbo.",IF(G28="Productos fracasados","ABANDONAR — hoy. Cada día que siguen consumen recursos que faltan en otro lado.",IF(G28="El ayer del sostén principal","PLANIFICAR SALIDA — extraer flujo residual y abandonar en 12-24 meses.",IF(G28="Productos reparables","CIRUGÍA — un solo cambio decisivo. Si no se arregla en 6 meses, al archivo.",IF(G28="Especialidades innecesarias","ELIMINAR — absorben tiempo gerencial desproporcionado al ingreso.",IF(G28="Variaciones especiales innecesarias","CONSOLIDAR — fusionar en la línea principal o eliminar.",IF(G28="Las inversiones en el ego gerencial","MATAR — ""algún día será"" no es estrategia. El ego no paga nómina.",IF(G28="La Cenicienta o los si-tan-sólo","INVESTIGAR — puede esconder un sostén principal de mañana ignorado.","")))))))))))</f>
      </c>
    </row>
    <row r="29" ht="40" customHeight="1" spans="1:9" x14ac:dyDescent="0.25">
      <c r="A29" s="4">
        <v>25</v>
      </c>
      <c r="B29" s="5"/>
      <c r="C29" s="6"/>
      <c r="D29" s="6"/>
      <c r="E29" s="5"/>
      <c r="F29" s="5"/>
      <c r="G29" s="5"/>
      <c r="H29" s="7">
        <f>IF(G29="Sostén principal de hoy","Alta",IF(G29="Sostén principal de mañana","Máxima",IF(G29="Productos productivos","Media",IF(G29="Productos en desarrollo","Alta",IF(G29="Productos fracasados","Abandono",IF(G29="El ayer del sostén principal","Baja",IF(G29="Productos reparables","Media",IF(G29="Especialidades innecesarias","Abandono",IF(G29="Variaciones especiales innecesarias","Abandono",IF(G29="Las inversiones en el ego gerencial","Abandono",IF(G29="La Cenicienta o los si-tan-sólo","Revisar",""))))))))))) </f>
      </c>
      <c r="I29" s="8">
        <f>IF(G29="Sostén principal de hoy","PROTEGER — el flujo de caja que financia todo. Optimizar rentabilidad sin canibalizar.",IF(G29="Sostén principal de mañana","INVERTIR — prioridad máxima. Son el sostén principal en 3-5 años.",IF(G29="Productos productivos","ORDEÑAR — maximizar margen, minimizar inversión. Preparar sucesores.",IF(G29="Productos en desarrollo","ACELERAR — decisión fría: lanzar o matar. No mantener en limbo.",IF(G29="Productos fracasados","ABANDONAR — hoy. Cada día que siguen consumen recursos que faltan en otro lado.",IF(G29="El ayer del sostén principal","PLANIFICAR SALIDA — extraer flujo residual y abandonar en 12-24 meses.",IF(G29="Productos reparables","CIRUGÍA — un solo cambio decisivo. Si no se arregla en 6 meses, al archivo.",IF(G29="Especialidades innecesarias","ELIMINAR — absorben tiempo gerencial desproporcionado al ingreso.",IF(G29="Variaciones especiales innecesarias","CONSOLIDAR — fusionar en la línea principal o eliminar.",IF(G29="Las inversiones en el ego gerencial","MATAR — ""algún día será"" no es estrategia. El ego no paga nómina.",IF(G29="La Cenicienta o los si-tan-sólo","INVESTIGAR — puede esconder un sostén principal de mañana ignorado.","")))))))))))</f>
      </c>
    </row>
  </sheetData>
  <mergeCells count="2">
    <mergeCell ref="A1:I1"/>
    <mergeCell ref="A2:I2"/>
  </mergeCells>
  <conditionalFormatting sqref="A5:I29">
    <cfRule type="expression" dxfId="0" priority="1">
      <formula>$H5="Máxima"</formula>
    </cfRule>
    <cfRule type="expression" dxfId="1" priority="2">
      <formula>$H5="Alta"</formula>
    </cfRule>
    <cfRule type="expression" dxfId="2" priority="3">
      <formula>$H5="Abandono"</formula>
    </cfRule>
    <cfRule type="expression" dxfId="3" priority="4">
      <formula>$H5="Revisar"</formula>
    </cfRule>
  </conditionalFormatting>
  <dataValidations count="6">
    <dataValidation type="list" allowBlank="1" sqref="E10:E29">
      <formula1>"Creciendo,Estable,Decayendo"</formula1>
    </dataValidation>
    <dataValidation type="list" allowBlank="1" sqref="E5:E29">
      <formula1>"Creciendo,Estable,Decayendo"</formula1>
    </dataValidation>
    <dataValidation type="list" allowBlank="1" sqref="F10:F29">
      <formula1>"Nuevo,Joven,Maduro,Viejo"</formula1>
    </dataValidation>
    <dataValidation type="list" allowBlank="1" sqref="F5:F29">
      <formula1>"Nuevo,Joven,Maduro,Viejo"</formula1>
    </dataValidation>
    <dataValidation type="list" allowBlank="1" sqref="G10:G29">
      <formula1>"Sostén principal de hoy,Sostén principal de mañana,Productos productivos,Productos en desarrollo,Productos fracasados,El ayer del sostén principal,Productos reparables,Especialidades innecesarias,Variaciones especiales innecesarias,Las inversiones en el ego gerencial,La Cenicienta o los si-tan-sólo"</formula1>
    </dataValidation>
    <dataValidation type="list" allowBlank="1" sqref="G5:G29">
      <formula1>"Sostén principal de hoy,Sostén principal de mañana,Productos productivos,Productos en desarrollo,Productos fracasados,El ayer del sostén principal,Productos reparables,Especialidades innecesarias,Variaciones especiales innecesarias,Las inversiones en el ego gerencial,La Cenicienta o los si-tan-sólo"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017"/>
  </sheetPr>
  <dimension ref="A1:B12"/>
  <sheetFormatPr defaultRowHeight="15" outlineLevelRow="0" outlineLevelCol="0" x14ac:dyDescent="55"/>
  <cols>
    <col min="1" max="1" width="32" customWidth="1"/>
    <col min="2" max="2" width="70" customWidth="1"/>
  </cols>
  <sheetData>
    <row r="1" ht="26" customHeight="1" spans="1:2" x14ac:dyDescent="0.25">
      <c r="A1" s="9" t="s">
        <v>11</v>
      </c>
      <c r="B1" s="9" t="s">
        <v>12</v>
      </c>
    </row>
    <row r="2" ht="40" customHeight="1" spans="1:2" s="10" customFormat="1" x14ac:dyDescent="0.25">
      <c r="A2" s="10" t="s">
        <v>13</v>
      </c>
      <c r="B2" s="10" t="s">
        <v>14</v>
      </c>
    </row>
    <row r="3" ht="40" customHeight="1" spans="1:2" s="10" customFormat="1" x14ac:dyDescent="0.25">
      <c r="A3" s="10" t="s">
        <v>15</v>
      </c>
      <c r="B3" s="10" t="s">
        <v>16</v>
      </c>
    </row>
    <row r="4" ht="40" customHeight="1" spans="1:2" s="10" customFormat="1" x14ac:dyDescent="0.25">
      <c r="A4" s="10" t="s">
        <v>17</v>
      </c>
      <c r="B4" s="10" t="s">
        <v>18</v>
      </c>
    </row>
    <row r="5" ht="40" customHeight="1" spans="1:2" s="10" customFormat="1" x14ac:dyDescent="0.25">
      <c r="A5" s="10" t="s">
        <v>19</v>
      </c>
      <c r="B5" s="10" t="s">
        <v>20</v>
      </c>
    </row>
    <row r="6" ht="40" customHeight="1" spans="1:2" s="10" customFormat="1" x14ac:dyDescent="0.25">
      <c r="A6" s="10" t="s">
        <v>21</v>
      </c>
      <c r="B6" s="10" t="s">
        <v>22</v>
      </c>
    </row>
    <row r="7" ht="40" customHeight="1" spans="1:2" s="10" customFormat="1" x14ac:dyDescent="0.25">
      <c r="A7" s="10" t="s">
        <v>23</v>
      </c>
      <c r="B7" s="10" t="s">
        <v>24</v>
      </c>
    </row>
    <row r="8" ht="40" customHeight="1" spans="1:2" s="10" customFormat="1" x14ac:dyDescent="0.25">
      <c r="A8" s="10" t="s">
        <v>25</v>
      </c>
      <c r="B8" s="10" t="s">
        <v>26</v>
      </c>
    </row>
    <row r="9" ht="40" customHeight="1" spans="1:2" s="10" customFormat="1" x14ac:dyDescent="0.25">
      <c r="A9" s="10" t="s">
        <v>27</v>
      </c>
      <c r="B9" s="10" t="s">
        <v>28</v>
      </c>
    </row>
    <row r="10" ht="40" customHeight="1" spans="1:2" s="10" customFormat="1" x14ac:dyDescent="0.25">
      <c r="A10" s="10" t="s">
        <v>29</v>
      </c>
      <c r="B10" s="10" t="s">
        <v>30</v>
      </c>
    </row>
    <row r="11" ht="40" customHeight="1" spans="1:2" s="10" customFormat="1" x14ac:dyDescent="0.25">
      <c r="A11" s="10" t="s">
        <v>31</v>
      </c>
      <c r="B11" s="10" t="s">
        <v>32</v>
      </c>
    </row>
    <row r="12" ht="40" customHeight="1" spans="1:2" s="10" customFormat="1" x14ac:dyDescent="0.25">
      <c r="A12" s="10" t="s">
        <v>33</v>
      </c>
      <c r="B12" s="10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Matriz</vt:lpstr>
      <vt:lpstr>Glosario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TRIKLES</dc:creator>
  <dc:title>Matriz de cartera — 11 categorías de productos (Drucker)</dc:title>
  <dc:subject/>
  <dc:description/>
  <cp:keywords/>
  <cp:category/>
  <cp:lastModifiedBy>Unknown</cp:lastModifiedBy>
  <dcterms:created xsi:type="dcterms:W3CDTF">2026-04-15T18:18:45Z</dcterms:created>
  <dcterms:modified xsi:type="dcterms:W3CDTF">2026-04-15T18:18:45Z</dcterms:modified>
</cp:coreProperties>
</file>