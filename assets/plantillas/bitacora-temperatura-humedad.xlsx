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Bitácora mensual" state="visible" r:id="rId5"/>
  </sheets>
  <calcPr calcId="171027"/>
</workbook>
</file>

<file path=xl/sharedStrings.xml><?xml version="1.0" encoding="utf-8"?>
<sst xmlns="http://schemas.openxmlformats.org/spreadsheetml/2006/main" count="236" uniqueCount="49">
  <si>
    <t>BITÁCORA DE TEMPERATURA Y HUMEDAD — Plantilla TRIKLES</t>
  </si>
  <si>
    <t>Esta bitácora cumple con los requisitos de la FEUM, Suplemento para Establecimientos 7.0 (Cap. II: Infraestructura, numeral 2.6) y NOM-059-SSA1-2015 para el control de condiciones ambientales en el almacén farmacéutico.</t>
  </si>
  <si>
    <t/>
  </si>
  <si>
    <t>INSTRUCCIONES:</t>
  </si>
  <si>
    <t>1. Registre lecturas de temperatura y humedad 3 veces al día (8:00, 14:00, 20:00) como mínimo.</t>
  </si>
  <si>
    <t>2. Use una hoja distinta por mes/área (almacén ambiente, cámara 2-8 °C, congelación -20 °C).</t>
  </si>
  <si>
    <t>3. Los valores fuera de rango se marcarán en rojo automáticamente.</t>
  </si>
  <si>
    <t>4. Ante una DESVIACIÓN, registre en la columna "Observaciones / CAPA" la acción correctiva tomada.</t>
  </si>
  <si>
    <t>5. Firme al final de cada mes el responsable del almacén y el Responsable Sanitario.</t>
  </si>
  <si>
    <t>RANGOS DE ALMACENAMIENTO (FEUM / USP / NOM-059):</t>
  </si>
  <si>
    <t>• Ambiente controlado: 15 °C – 25 °C | HR ≤ 65%</t>
  </si>
  <si>
    <t>• Refrigeración (cadena de frío): 2 °C – 8 °C</t>
  </si>
  <si>
    <t>• Congelación: -25 °C a -10 °C</t>
  </si>
  <si>
    <t>• Fresco: 8 °C – 15 °C</t>
  </si>
  <si>
    <t>RETENCIÓN DE REGISTROS: mínimo 5 años o según NOM-059.</t>
  </si>
  <si>
    <t>Plantilla TRIKLES | Curso: Administración de Inventarios Farmacéuticos con base en FEUM</t>
  </si>
  <si>
    <t>BITÁCORA DE TEMPERATURA Y HUMEDAD RELATIVA</t>
  </si>
  <si>
    <t>Área / Ubicación:</t>
  </si>
  <si>
    <t>Mes / Año:</t>
  </si>
  <si>
    <t>Equipo de medición:</t>
  </si>
  <si>
    <t>No. de calibración:</t>
  </si>
  <si>
    <t>Rango admisible T (°C):</t>
  </si>
  <si>
    <t>15 a 25</t>
  </si>
  <si>
    <t>Rango admisible HR (%):</t>
  </si>
  <si>
    <t>≤ 65</t>
  </si>
  <si>
    <t>Día</t>
  </si>
  <si>
    <t>Fecha</t>
  </si>
  <si>
    <t>Turno</t>
  </si>
  <si>
    <t>Hora</t>
  </si>
  <si>
    <t>Temp. (°C)</t>
  </si>
  <si>
    <t>HR (%)</t>
  </si>
  <si>
    <t>T. Mín 24h</t>
  </si>
  <si>
    <t>T. Máx 24h</t>
  </si>
  <si>
    <t>Responsable</t>
  </si>
  <si>
    <t>Observaciones / CAPA</t>
  </si>
  <si>
    <t>Mañana</t>
  </si>
  <si>
    <t>08:00</t>
  </si>
  <si>
    <t>Tarde</t>
  </si>
  <si>
    <t>14:00</t>
  </si>
  <si>
    <t>Noche</t>
  </si>
  <si>
    <t>20:00</t>
  </si>
  <si>
    <t>RESUMEN DEL MES</t>
  </si>
  <si>
    <t>T. Mínima:</t>
  </si>
  <si>
    <t>T. Máxima:</t>
  </si>
  <si>
    <t>T. Promedio:</t>
  </si>
  <si>
    <t>HR Promedio:</t>
  </si>
  <si>
    <t>Desviaciones T:</t>
  </si>
  <si>
    <t>Firma responsable del almacén:</t>
  </si>
  <si>
    <t>Firma Responsable Sanitario: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</si>
</sst>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A8A"/>
      <sz val="16"/>
    </font>
    <font>
      <b/>
    </font>
    <font>
      <b/>
      <color rgb="FFFFFFFF"/>
      <sz val="16"/>
    </font>
    <font>
      <b/>
      <color rgb="FFFFFFFF"/>
    </font>
    <font>
      <b/>
      <color rgb="FF1F3A8A"/>
      <sz val="13"/>
    </font>
  </fonts>
  <fills count="4">
    <fill>
      <patternFill patternType="none"/>
    </fill>
    <fill>
      <patternFill patternType="gray125"/>
    </fill>
    <fill>
      <patternFill patternType="solid">
        <fgColor rgb="FF1F3A8A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3">
    <dxf>
      <font>
        <b/>
        <color rgb="FF7F1D1D"/>
      </font>
      <fill>
        <patternFill patternType="solid">
          <bgColor rgb="FFFCA5A5"/>
        </patternFill>
      </fill>
    </dxf>
    <dxf>
      <font>
        <b/>
        <color rgb="FF1E3A8A"/>
      </font>
      <fill>
        <patternFill patternType="solid">
          <bgColor rgb="FFBFDBFE"/>
        </patternFill>
      </fill>
    </dxf>
    <dxf>
      <font>
        <b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s="2" customFormat="1" x14ac:dyDescent="0.25">
      <c r="A10" s="2" t="s">
        <v>8</v>
      </c>
    </row>
    <row r="11" spans="1:1" x14ac:dyDescent="0.25">
      <c r="A11" t="s">
        <v>2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2</v>
      </c>
    </row>
    <row r="18" spans="1:1" x14ac:dyDescent="0.25">
      <c r="A18" t="s">
        <v>14</v>
      </c>
    </row>
    <row r="19" spans="1:1" x14ac:dyDescent="0.25">
      <c r="A19" t="s">
        <v>2</v>
      </c>
    </row>
    <row r="20" spans="1:1" x14ac:dyDescent="0.25">
      <c r="A2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8" width="14" customWidth="1"/>
    <col min="9" max="9" width="18" customWidth="1"/>
    <col min="10" max="10" width="34" customWidth="1"/>
  </cols>
  <sheetData>
    <row r="1" ht="28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17</v>
      </c>
      <c r="B2" s="2"/>
      <c r="C2" s="4" t="s">
        <v>2</v>
      </c>
      <c r="D2" s="4"/>
      <c r="E2" s="4"/>
      <c r="F2" s="2" t="s">
        <v>18</v>
      </c>
      <c r="G2" s="2"/>
      <c r="H2" s="4" t="s">
        <v>2</v>
      </c>
      <c r="I2" s="4"/>
      <c r="J2" s="4"/>
    </row>
    <row r="3" spans="1:10" x14ac:dyDescent="0.25">
      <c r="A3" s="2" t="s">
        <v>19</v>
      </c>
      <c r="B3" s="2"/>
      <c r="C3" s="4" t="s">
        <v>2</v>
      </c>
      <c r="D3" s="4"/>
      <c r="E3" s="4"/>
      <c r="F3" s="2" t="s">
        <v>20</v>
      </c>
      <c r="G3" s="2"/>
      <c r="H3" s="4" t="s">
        <v>2</v>
      </c>
      <c r="I3" s="4"/>
      <c r="J3" s="4"/>
    </row>
    <row r="4" spans="1:10" x14ac:dyDescent="0.25">
      <c r="A4" s="2" t="s">
        <v>21</v>
      </c>
      <c r="B4" s="2"/>
      <c r="C4" s="4" t="s">
        <v>22</v>
      </c>
      <c r="D4" s="4"/>
      <c r="E4" s="4"/>
      <c r="F4" s="2" t="s">
        <v>23</v>
      </c>
      <c r="G4" s="2"/>
      <c r="H4" s="4" t="s">
        <v>24</v>
      </c>
      <c r="I4" s="4"/>
      <c r="J4" s="4"/>
    </row>
    <row r="6" ht="32" customHeight="1" spans="1:10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</row>
    <row r="7" spans="1:10" x14ac:dyDescent="0.25">
      <c r="A7" s="6">
        <v>1</v>
      </c>
      <c r="B7" s="6"/>
      <c r="C7" s="6" t="s">
        <v>35</v>
      </c>
      <c r="D7" s="6" t="s">
        <v>36</v>
      </c>
      <c r="E7" s="6"/>
      <c r="F7" s="6"/>
      <c r="G7" s="6"/>
      <c r="H7" s="6"/>
      <c r="I7" s="6"/>
      <c r="J7" s="6"/>
    </row>
    <row r="8" spans="1:10" x14ac:dyDescent="0.25">
      <c r="A8" s="6"/>
      <c r="B8" s="6"/>
      <c r="C8" s="6" t="s">
        <v>37</v>
      </c>
      <c r="D8" s="6" t="s">
        <v>38</v>
      </c>
      <c r="E8" s="6"/>
      <c r="F8" s="6"/>
      <c r="G8" s="6"/>
      <c r="H8" s="6"/>
      <c r="I8" s="6"/>
      <c r="J8" s="6"/>
    </row>
    <row r="9" spans="1:10" x14ac:dyDescent="0.25">
      <c r="A9" s="6"/>
      <c r="B9" s="6"/>
      <c r="C9" s="6" t="s">
        <v>39</v>
      </c>
      <c r="D9" s="6" t="s">
        <v>40</v>
      </c>
      <c r="E9" s="6"/>
      <c r="F9" s="6"/>
      <c r="G9" s="6"/>
      <c r="H9" s="6"/>
      <c r="I9" s="6"/>
      <c r="J9" s="6"/>
    </row>
    <row r="10" spans="1:10" x14ac:dyDescent="0.25">
      <c r="A10" s="6">
        <v>2</v>
      </c>
      <c r="B10" s="6"/>
      <c r="C10" s="6" t="s">
        <v>35</v>
      </c>
      <c r="D10" s="6" t="s">
        <v>36</v>
      </c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 t="s">
        <v>37</v>
      </c>
      <c r="D11" s="6" t="s">
        <v>38</v>
      </c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 t="s">
        <v>39</v>
      </c>
      <c r="D12" s="6" t="s">
        <v>40</v>
      </c>
      <c r="E12" s="6"/>
      <c r="F12" s="6"/>
      <c r="G12" s="6"/>
      <c r="H12" s="6"/>
      <c r="I12" s="6"/>
      <c r="J12" s="6"/>
    </row>
    <row r="13" spans="1:10" x14ac:dyDescent="0.25">
      <c r="A13" s="6">
        <v>3</v>
      </c>
      <c r="B13" s="6"/>
      <c r="C13" s="6" t="s">
        <v>35</v>
      </c>
      <c r="D13" s="6" t="s">
        <v>36</v>
      </c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 t="s">
        <v>37</v>
      </c>
      <c r="D14" s="6" t="s">
        <v>38</v>
      </c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 t="s">
        <v>39</v>
      </c>
      <c r="D15" s="6" t="s">
        <v>40</v>
      </c>
      <c r="E15" s="6"/>
      <c r="F15" s="6"/>
      <c r="G15" s="6"/>
      <c r="H15" s="6"/>
      <c r="I15" s="6"/>
      <c r="J15" s="6"/>
    </row>
    <row r="16" spans="1:10" x14ac:dyDescent="0.25">
      <c r="A16" s="6">
        <v>4</v>
      </c>
      <c r="B16" s="6"/>
      <c r="C16" s="6" t="s">
        <v>35</v>
      </c>
      <c r="D16" s="6" t="s">
        <v>36</v>
      </c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 t="s">
        <v>37</v>
      </c>
      <c r="D17" s="6" t="s">
        <v>38</v>
      </c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 t="s">
        <v>39</v>
      </c>
      <c r="D18" s="6" t="s">
        <v>40</v>
      </c>
      <c r="E18" s="6"/>
      <c r="F18" s="6"/>
      <c r="G18" s="6"/>
      <c r="H18" s="6"/>
      <c r="I18" s="6"/>
      <c r="J18" s="6"/>
    </row>
    <row r="19" spans="1:10" x14ac:dyDescent="0.25">
      <c r="A19" s="6">
        <v>5</v>
      </c>
      <c r="B19" s="6"/>
      <c r="C19" s="6" t="s">
        <v>35</v>
      </c>
      <c r="D19" s="6" t="s">
        <v>36</v>
      </c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 t="s">
        <v>37</v>
      </c>
      <c r="D20" s="6" t="s">
        <v>38</v>
      </c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 t="s">
        <v>39</v>
      </c>
      <c r="D21" s="6" t="s">
        <v>40</v>
      </c>
      <c r="E21" s="6"/>
      <c r="F21" s="6"/>
      <c r="G21" s="6"/>
      <c r="H21" s="6"/>
      <c r="I21" s="6"/>
      <c r="J21" s="6"/>
    </row>
    <row r="22" spans="1:10" x14ac:dyDescent="0.25">
      <c r="A22" s="6">
        <v>6</v>
      </c>
      <c r="B22" s="6"/>
      <c r="C22" s="6" t="s">
        <v>35</v>
      </c>
      <c r="D22" s="6" t="s">
        <v>36</v>
      </c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 t="s">
        <v>37</v>
      </c>
      <c r="D23" s="6" t="s">
        <v>38</v>
      </c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 t="s">
        <v>39</v>
      </c>
      <c r="D24" s="6" t="s">
        <v>40</v>
      </c>
      <c r="E24" s="6"/>
      <c r="F24" s="6"/>
      <c r="G24" s="6"/>
      <c r="H24" s="6"/>
      <c r="I24" s="6"/>
      <c r="J24" s="6"/>
    </row>
    <row r="25" spans="1:10" x14ac:dyDescent="0.25">
      <c r="A25" s="6">
        <v>7</v>
      </c>
      <c r="B25" s="6"/>
      <c r="C25" s="6" t="s">
        <v>35</v>
      </c>
      <c r="D25" s="6" t="s">
        <v>36</v>
      </c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 t="s">
        <v>37</v>
      </c>
      <c r="D26" s="6" t="s">
        <v>38</v>
      </c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 t="s">
        <v>39</v>
      </c>
      <c r="D27" s="6" t="s">
        <v>40</v>
      </c>
      <c r="E27" s="6"/>
      <c r="F27" s="6"/>
      <c r="G27" s="6"/>
      <c r="H27" s="6"/>
      <c r="I27" s="6"/>
      <c r="J27" s="6"/>
    </row>
    <row r="28" spans="1:10" x14ac:dyDescent="0.25">
      <c r="A28" s="6">
        <v>8</v>
      </c>
      <c r="B28" s="6"/>
      <c r="C28" s="6" t="s">
        <v>35</v>
      </c>
      <c r="D28" s="6" t="s">
        <v>36</v>
      </c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 t="s">
        <v>37</v>
      </c>
      <c r="D29" s="6" t="s">
        <v>38</v>
      </c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 t="s">
        <v>39</v>
      </c>
      <c r="D30" s="6" t="s">
        <v>40</v>
      </c>
      <c r="E30" s="6"/>
      <c r="F30" s="6"/>
      <c r="G30" s="6"/>
      <c r="H30" s="6"/>
      <c r="I30" s="6"/>
      <c r="J30" s="6"/>
    </row>
    <row r="31" spans="1:10" x14ac:dyDescent="0.25">
      <c r="A31" s="6">
        <v>9</v>
      </c>
      <c r="B31" s="6"/>
      <c r="C31" s="6" t="s">
        <v>35</v>
      </c>
      <c r="D31" s="6" t="s">
        <v>36</v>
      </c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 t="s">
        <v>37</v>
      </c>
      <c r="D32" s="6" t="s">
        <v>38</v>
      </c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 t="s">
        <v>39</v>
      </c>
      <c r="D33" s="6" t="s">
        <v>40</v>
      </c>
      <c r="E33" s="6"/>
      <c r="F33" s="6"/>
      <c r="G33" s="6"/>
      <c r="H33" s="6"/>
      <c r="I33" s="6"/>
      <c r="J33" s="6"/>
    </row>
    <row r="34" spans="1:10" x14ac:dyDescent="0.25">
      <c r="A34" s="6">
        <v>10</v>
      </c>
      <c r="B34" s="6"/>
      <c r="C34" s="6" t="s">
        <v>35</v>
      </c>
      <c r="D34" s="6" t="s">
        <v>36</v>
      </c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 t="s">
        <v>37</v>
      </c>
      <c r="D35" s="6" t="s">
        <v>38</v>
      </c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 t="s">
        <v>39</v>
      </c>
      <c r="D36" s="6" t="s">
        <v>40</v>
      </c>
      <c r="E36" s="6"/>
      <c r="F36" s="6"/>
      <c r="G36" s="6"/>
      <c r="H36" s="6"/>
      <c r="I36" s="6"/>
      <c r="J36" s="6"/>
    </row>
    <row r="37" spans="1:10" x14ac:dyDescent="0.25">
      <c r="A37" s="6">
        <v>11</v>
      </c>
      <c r="B37" s="6"/>
      <c r="C37" s="6" t="s">
        <v>35</v>
      </c>
      <c r="D37" s="6" t="s">
        <v>36</v>
      </c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 t="s">
        <v>37</v>
      </c>
      <c r="D38" s="6" t="s">
        <v>38</v>
      </c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 t="s">
        <v>39</v>
      </c>
      <c r="D39" s="6" t="s">
        <v>40</v>
      </c>
      <c r="E39" s="6"/>
      <c r="F39" s="6"/>
      <c r="G39" s="6"/>
      <c r="H39" s="6"/>
      <c r="I39" s="6"/>
      <c r="J39" s="6"/>
    </row>
    <row r="40" spans="1:10" x14ac:dyDescent="0.25">
      <c r="A40" s="6">
        <v>12</v>
      </c>
      <c r="B40" s="6"/>
      <c r="C40" s="6" t="s">
        <v>35</v>
      </c>
      <c r="D40" s="6" t="s">
        <v>36</v>
      </c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 t="s">
        <v>37</v>
      </c>
      <c r="D41" s="6" t="s">
        <v>38</v>
      </c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 t="s">
        <v>39</v>
      </c>
      <c r="D42" s="6" t="s">
        <v>40</v>
      </c>
      <c r="E42" s="6"/>
      <c r="F42" s="6"/>
      <c r="G42" s="6"/>
      <c r="H42" s="6"/>
      <c r="I42" s="6"/>
      <c r="J42" s="6"/>
    </row>
    <row r="43" spans="1:10" x14ac:dyDescent="0.25">
      <c r="A43" s="6">
        <v>13</v>
      </c>
      <c r="B43" s="6"/>
      <c r="C43" s="6" t="s">
        <v>35</v>
      </c>
      <c r="D43" s="6" t="s">
        <v>36</v>
      </c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 t="s">
        <v>37</v>
      </c>
      <c r="D44" s="6" t="s">
        <v>38</v>
      </c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 t="s">
        <v>39</v>
      </c>
      <c r="D45" s="6" t="s">
        <v>40</v>
      </c>
      <c r="E45" s="6"/>
      <c r="F45" s="6"/>
      <c r="G45" s="6"/>
      <c r="H45" s="6"/>
      <c r="I45" s="6"/>
      <c r="J45" s="6"/>
    </row>
    <row r="46" spans="1:10" x14ac:dyDescent="0.25">
      <c r="A46" s="6">
        <v>14</v>
      </c>
      <c r="B46" s="6"/>
      <c r="C46" s="6" t="s">
        <v>35</v>
      </c>
      <c r="D46" s="6" t="s">
        <v>36</v>
      </c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 t="s">
        <v>37</v>
      </c>
      <c r="D47" s="6" t="s">
        <v>38</v>
      </c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 t="s">
        <v>39</v>
      </c>
      <c r="D48" s="6" t="s">
        <v>40</v>
      </c>
      <c r="E48" s="6"/>
      <c r="F48" s="6"/>
      <c r="G48" s="6"/>
      <c r="H48" s="6"/>
      <c r="I48" s="6"/>
      <c r="J48" s="6"/>
    </row>
    <row r="49" spans="1:10" x14ac:dyDescent="0.25">
      <c r="A49" s="6">
        <v>15</v>
      </c>
      <c r="B49" s="6"/>
      <c r="C49" s="6" t="s">
        <v>35</v>
      </c>
      <c r="D49" s="6" t="s">
        <v>36</v>
      </c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 t="s">
        <v>37</v>
      </c>
      <c r="D50" s="6" t="s">
        <v>38</v>
      </c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 t="s">
        <v>39</v>
      </c>
      <c r="D51" s="6" t="s">
        <v>40</v>
      </c>
      <c r="E51" s="6"/>
      <c r="F51" s="6"/>
      <c r="G51" s="6"/>
      <c r="H51" s="6"/>
      <c r="I51" s="6"/>
      <c r="J51" s="6"/>
    </row>
    <row r="52" spans="1:10" x14ac:dyDescent="0.25">
      <c r="A52" s="6">
        <v>16</v>
      </c>
      <c r="B52" s="6"/>
      <c r="C52" s="6" t="s">
        <v>35</v>
      </c>
      <c r="D52" s="6" t="s">
        <v>36</v>
      </c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 t="s">
        <v>37</v>
      </c>
      <c r="D53" s="6" t="s">
        <v>38</v>
      </c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 t="s">
        <v>39</v>
      </c>
      <c r="D54" s="6" t="s">
        <v>40</v>
      </c>
      <c r="E54" s="6"/>
      <c r="F54" s="6"/>
      <c r="G54" s="6"/>
      <c r="H54" s="6"/>
      <c r="I54" s="6"/>
      <c r="J54" s="6"/>
    </row>
    <row r="55" spans="1:10" x14ac:dyDescent="0.25">
      <c r="A55" s="6">
        <v>17</v>
      </c>
      <c r="B55" s="6"/>
      <c r="C55" s="6" t="s">
        <v>35</v>
      </c>
      <c r="D55" s="6" t="s">
        <v>36</v>
      </c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 t="s">
        <v>37</v>
      </c>
      <c r="D56" s="6" t="s">
        <v>38</v>
      </c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 t="s">
        <v>39</v>
      </c>
      <c r="D57" s="6" t="s">
        <v>40</v>
      </c>
      <c r="E57" s="6"/>
      <c r="F57" s="6"/>
      <c r="G57" s="6"/>
      <c r="H57" s="6"/>
      <c r="I57" s="6"/>
      <c r="J57" s="6"/>
    </row>
    <row r="58" spans="1:10" x14ac:dyDescent="0.25">
      <c r="A58" s="6">
        <v>18</v>
      </c>
      <c r="B58" s="6"/>
      <c r="C58" s="6" t="s">
        <v>35</v>
      </c>
      <c r="D58" s="6" t="s">
        <v>36</v>
      </c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 t="s">
        <v>37</v>
      </c>
      <c r="D59" s="6" t="s">
        <v>38</v>
      </c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 t="s">
        <v>39</v>
      </c>
      <c r="D60" s="6" t="s">
        <v>40</v>
      </c>
      <c r="E60" s="6"/>
      <c r="F60" s="6"/>
      <c r="G60" s="6"/>
      <c r="H60" s="6"/>
      <c r="I60" s="6"/>
      <c r="J60" s="6"/>
    </row>
    <row r="61" spans="1:10" x14ac:dyDescent="0.25">
      <c r="A61" s="6">
        <v>19</v>
      </c>
      <c r="B61" s="6"/>
      <c r="C61" s="6" t="s">
        <v>35</v>
      </c>
      <c r="D61" s="6" t="s">
        <v>36</v>
      </c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 t="s">
        <v>37</v>
      </c>
      <c r="D62" s="6" t="s">
        <v>38</v>
      </c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 t="s">
        <v>39</v>
      </c>
      <c r="D63" s="6" t="s">
        <v>40</v>
      </c>
      <c r="E63" s="6"/>
      <c r="F63" s="6"/>
      <c r="G63" s="6"/>
      <c r="H63" s="6"/>
      <c r="I63" s="6"/>
      <c r="J63" s="6"/>
    </row>
    <row r="64" spans="1:10" x14ac:dyDescent="0.25">
      <c r="A64" s="6">
        <v>20</v>
      </c>
      <c r="B64" s="6"/>
      <c r="C64" s="6" t="s">
        <v>35</v>
      </c>
      <c r="D64" s="6" t="s">
        <v>36</v>
      </c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 t="s">
        <v>37</v>
      </c>
      <c r="D65" s="6" t="s">
        <v>38</v>
      </c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 t="s">
        <v>39</v>
      </c>
      <c r="D66" s="6" t="s">
        <v>40</v>
      </c>
      <c r="E66" s="6"/>
      <c r="F66" s="6"/>
      <c r="G66" s="6"/>
      <c r="H66" s="6"/>
      <c r="I66" s="6"/>
      <c r="J66" s="6"/>
    </row>
    <row r="67" spans="1:10" x14ac:dyDescent="0.25">
      <c r="A67" s="6">
        <v>21</v>
      </c>
      <c r="B67" s="6"/>
      <c r="C67" s="6" t="s">
        <v>35</v>
      </c>
      <c r="D67" s="6" t="s">
        <v>36</v>
      </c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 t="s">
        <v>37</v>
      </c>
      <c r="D68" s="6" t="s">
        <v>38</v>
      </c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 t="s">
        <v>39</v>
      </c>
      <c r="D69" s="6" t="s">
        <v>40</v>
      </c>
      <c r="E69" s="6"/>
      <c r="F69" s="6"/>
      <c r="G69" s="6"/>
      <c r="H69" s="6"/>
      <c r="I69" s="6"/>
      <c r="J69" s="6"/>
    </row>
    <row r="70" spans="1:10" x14ac:dyDescent="0.25">
      <c r="A70" s="6">
        <v>22</v>
      </c>
      <c r="B70" s="6"/>
      <c r="C70" s="6" t="s">
        <v>35</v>
      </c>
      <c r="D70" s="6" t="s">
        <v>36</v>
      </c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 t="s">
        <v>37</v>
      </c>
      <c r="D71" s="6" t="s">
        <v>38</v>
      </c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 t="s">
        <v>39</v>
      </c>
      <c r="D72" s="6" t="s">
        <v>40</v>
      </c>
      <c r="E72" s="6"/>
      <c r="F72" s="6"/>
      <c r="G72" s="6"/>
      <c r="H72" s="6"/>
      <c r="I72" s="6"/>
      <c r="J72" s="6"/>
    </row>
    <row r="73" spans="1:10" x14ac:dyDescent="0.25">
      <c r="A73" s="6">
        <v>23</v>
      </c>
      <c r="B73" s="6"/>
      <c r="C73" s="6" t="s">
        <v>35</v>
      </c>
      <c r="D73" s="6" t="s">
        <v>36</v>
      </c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 t="s">
        <v>37</v>
      </c>
      <c r="D74" s="6" t="s">
        <v>38</v>
      </c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 t="s">
        <v>39</v>
      </c>
      <c r="D75" s="6" t="s">
        <v>40</v>
      </c>
      <c r="E75" s="6"/>
      <c r="F75" s="6"/>
      <c r="G75" s="6"/>
      <c r="H75" s="6"/>
      <c r="I75" s="6"/>
      <c r="J75" s="6"/>
    </row>
    <row r="76" spans="1:10" x14ac:dyDescent="0.25">
      <c r="A76" s="6">
        <v>24</v>
      </c>
      <c r="B76" s="6"/>
      <c r="C76" s="6" t="s">
        <v>35</v>
      </c>
      <c r="D76" s="6" t="s">
        <v>36</v>
      </c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 t="s">
        <v>37</v>
      </c>
      <c r="D77" s="6" t="s">
        <v>38</v>
      </c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 t="s">
        <v>39</v>
      </c>
      <c r="D78" s="6" t="s">
        <v>40</v>
      </c>
      <c r="E78" s="6"/>
      <c r="F78" s="6"/>
      <c r="G78" s="6"/>
      <c r="H78" s="6"/>
      <c r="I78" s="6"/>
      <c r="J78" s="6"/>
    </row>
    <row r="79" spans="1:10" x14ac:dyDescent="0.25">
      <c r="A79" s="6">
        <v>25</v>
      </c>
      <c r="B79" s="6"/>
      <c r="C79" s="6" t="s">
        <v>35</v>
      </c>
      <c r="D79" s="6" t="s">
        <v>36</v>
      </c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 t="s">
        <v>37</v>
      </c>
      <c r="D80" s="6" t="s">
        <v>38</v>
      </c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 t="s">
        <v>39</v>
      </c>
      <c r="D81" s="6" t="s">
        <v>40</v>
      </c>
      <c r="E81" s="6"/>
      <c r="F81" s="6"/>
      <c r="G81" s="6"/>
      <c r="H81" s="6"/>
      <c r="I81" s="6"/>
      <c r="J81" s="6"/>
    </row>
    <row r="82" spans="1:10" x14ac:dyDescent="0.25">
      <c r="A82" s="6">
        <v>26</v>
      </c>
      <c r="B82" s="6"/>
      <c r="C82" s="6" t="s">
        <v>35</v>
      </c>
      <c r="D82" s="6" t="s">
        <v>36</v>
      </c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 t="s">
        <v>37</v>
      </c>
      <c r="D83" s="6" t="s">
        <v>38</v>
      </c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 t="s">
        <v>39</v>
      </c>
      <c r="D84" s="6" t="s">
        <v>40</v>
      </c>
      <c r="E84" s="6"/>
      <c r="F84" s="6"/>
      <c r="G84" s="6"/>
      <c r="H84" s="6"/>
      <c r="I84" s="6"/>
      <c r="J84" s="6"/>
    </row>
    <row r="85" spans="1:10" x14ac:dyDescent="0.25">
      <c r="A85" s="6">
        <v>27</v>
      </c>
      <c r="B85" s="6"/>
      <c r="C85" s="6" t="s">
        <v>35</v>
      </c>
      <c r="D85" s="6" t="s">
        <v>36</v>
      </c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 t="s">
        <v>37</v>
      </c>
      <c r="D86" s="6" t="s">
        <v>38</v>
      </c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 t="s">
        <v>39</v>
      </c>
      <c r="D87" s="6" t="s">
        <v>40</v>
      </c>
      <c r="E87" s="6"/>
      <c r="F87" s="6"/>
      <c r="G87" s="6"/>
      <c r="H87" s="6"/>
      <c r="I87" s="6"/>
      <c r="J87" s="6"/>
    </row>
    <row r="88" spans="1:10" x14ac:dyDescent="0.25">
      <c r="A88" s="6">
        <v>28</v>
      </c>
      <c r="B88" s="6"/>
      <c r="C88" s="6" t="s">
        <v>35</v>
      </c>
      <c r="D88" s="6" t="s">
        <v>36</v>
      </c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 t="s">
        <v>37</v>
      </c>
      <c r="D89" s="6" t="s">
        <v>38</v>
      </c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 t="s">
        <v>39</v>
      </c>
      <c r="D90" s="6" t="s">
        <v>40</v>
      </c>
      <c r="E90" s="6"/>
      <c r="F90" s="6"/>
      <c r="G90" s="6"/>
      <c r="H90" s="6"/>
      <c r="I90" s="6"/>
      <c r="J90" s="6"/>
    </row>
    <row r="91" spans="1:10" x14ac:dyDescent="0.25">
      <c r="A91" s="6">
        <v>29</v>
      </c>
      <c r="B91" s="6"/>
      <c r="C91" s="6" t="s">
        <v>35</v>
      </c>
      <c r="D91" s="6" t="s">
        <v>36</v>
      </c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 t="s">
        <v>37</v>
      </c>
      <c r="D92" s="6" t="s">
        <v>38</v>
      </c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 t="s">
        <v>39</v>
      </c>
      <c r="D93" s="6" t="s">
        <v>40</v>
      </c>
      <c r="E93" s="6"/>
      <c r="F93" s="6"/>
      <c r="G93" s="6"/>
      <c r="H93" s="6"/>
      <c r="I93" s="6"/>
      <c r="J93" s="6"/>
    </row>
    <row r="94" spans="1:10" x14ac:dyDescent="0.25">
      <c r="A94" s="6">
        <v>30</v>
      </c>
      <c r="B94" s="6"/>
      <c r="C94" s="6" t="s">
        <v>35</v>
      </c>
      <c r="D94" s="6" t="s">
        <v>36</v>
      </c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 t="s">
        <v>37</v>
      </c>
      <c r="D95" s="6" t="s">
        <v>38</v>
      </c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 t="s">
        <v>39</v>
      </c>
      <c r="D96" s="6" t="s">
        <v>40</v>
      </c>
      <c r="E96" s="6"/>
      <c r="F96" s="6"/>
      <c r="G96" s="6"/>
      <c r="H96" s="6"/>
      <c r="I96" s="6"/>
      <c r="J96" s="6"/>
    </row>
    <row r="97" spans="1:10" x14ac:dyDescent="0.25">
      <c r="A97" s="6">
        <v>31</v>
      </c>
      <c r="B97" s="6"/>
      <c r="C97" s="6" t="s">
        <v>35</v>
      </c>
      <c r="D97" s="6" t="s">
        <v>36</v>
      </c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 t="s">
        <v>37</v>
      </c>
      <c r="D98" s="6" t="s">
        <v>38</v>
      </c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 t="s">
        <v>39</v>
      </c>
      <c r="D99" s="6" t="s">
        <v>40</v>
      </c>
      <c r="E99" s="6"/>
      <c r="F99" s="6"/>
      <c r="G99" s="6"/>
      <c r="H99" s="6"/>
      <c r="I99" s="6"/>
      <c r="J99" s="6"/>
    </row>
    <row r="102" spans="1:1" x14ac:dyDescent="0.25">
      <c r="A102" s="7" t="s">
        <v>41</v>
      </c>
    </row>
    <row r="103" spans="1:2" x14ac:dyDescent="0.25">
      <c r="A103" t="s">
        <v>42</v>
      </c>
      <c r="B103">
        <f>MIN(E7:E99)</f>
      </c>
    </row>
    <row r="104" spans="1:2" x14ac:dyDescent="0.25">
      <c r="A104" t="s">
        <v>43</v>
      </c>
      <c r="B104">
        <f>MAX(E7:E99)</f>
      </c>
    </row>
    <row r="105" spans="1:2" x14ac:dyDescent="0.25">
      <c r="A105" t="s">
        <v>44</v>
      </c>
      <c r="B105">
        <f>AVERAGE(E7:E99)</f>
      </c>
    </row>
    <row r="106" spans="1:2" x14ac:dyDescent="0.25">
      <c r="A106" t="s">
        <v>45</v>
      </c>
      <c r="B106">
        <f>AVERAGE(F7:F99)</f>
      </c>
    </row>
    <row r="107" spans="1:2" x14ac:dyDescent="0.25">
      <c r="A107" t="s">
        <v>46</v>
      </c>
      <c r="B107">
        <f>COUNTIF(E7:E99,"&gt;25")+COUNTIF(E7:E99,"&lt;15")</f>
      </c>
    </row>
    <row r="109" spans="1:10" x14ac:dyDescent="0.25">
      <c r="A109" s="2" t="s">
        <v>47</v>
      </c>
      <c r="B109" s="2"/>
      <c r="C109" s="2"/>
      <c r="D109" s="2"/>
      <c r="E109" s="2"/>
      <c r="F109" s="2" t="s">
        <v>48</v>
      </c>
      <c r="G109" s="2"/>
      <c r="H109" s="2"/>
      <c r="I109" s="2"/>
      <c r="J109" s="2"/>
    </row>
  </sheetData>
  <mergeCells count="15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109:E109"/>
    <mergeCell ref="F109:J109"/>
  </mergeCells>
  <conditionalFormatting sqref="E7:E99">
    <cfRule type="cellIs" dxfId="0" priority="1" operator="greaterThan">
      <formula>25</formula>
    </cfRule>
    <cfRule type="cellIs" dxfId="1" priority="2" operator="lessThan">
      <formula>15</formula>
    </cfRule>
  </conditionalFormatting>
  <conditionalFormatting sqref="F7:F99">
    <cfRule type="cellIs" dxfId="2" priority="1" operator="greaterThan">
      <formula>65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Bitácora mensual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TRIKLES</dc:creator>
  <dc:title/>
  <dc:subject/>
  <dc:description/>
  <cp:keywords/>
  <cp:category/>
  <cp:lastModifiedBy>Unknown</cp:lastModifiedBy>
  <dcterms:created xsi:type="dcterms:W3CDTF">2026-04-15T16:33:35Z</dcterms:created>
  <dcterms:modified xsi:type="dcterms:W3CDTF">2026-04-15T16:33:35Z</dcterms:modified>
</cp:coreProperties>
</file>